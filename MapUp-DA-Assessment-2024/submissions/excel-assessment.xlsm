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Dell\Downloads\"/>
    </mc:Choice>
  </mc:AlternateContent>
  <xr:revisionPtr revIDLastSave="0" documentId="8_{0EEEC108-ADE7-4A3B-81EF-A7EE18D34A71}"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externalReferences>
    <externalReference r:id="rId8"/>
    <externalReference r:id="rId9"/>
  </externalReference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H41" i="1" l="1"/>
  <c r="B28" i="18"/>
  <c r="C23" i="20"/>
  <c r="C35" i="20"/>
  <c r="C34" i="20"/>
  <c r="C33" i="20"/>
  <c r="C32" i="20"/>
  <c r="C31" i="20"/>
  <c r="C30" i="20"/>
  <c r="C29" i="20"/>
  <c r="C28" i="20"/>
  <c r="C27" i="20"/>
  <c r="C26" i="20"/>
  <c r="C25" i="20"/>
  <c r="C24" i="20"/>
  <c r="F30" i="18"/>
  <c r="E30" i="18"/>
  <c r="D30" i="18"/>
  <c r="C30" i="18"/>
  <c r="B30" i="18"/>
  <c r="F28" i="18"/>
  <c r="E28" i="18"/>
  <c r="D28" i="18"/>
  <c r="C28" i="18"/>
  <c r="F29" i="18"/>
  <c r="E29" i="18"/>
  <c r="D29" i="18"/>
  <c r="C29" i="18"/>
  <c r="B29" i="18"/>
  <c r="F7" i="18"/>
  <c r="F8" i="18"/>
  <c r="F9" i="18"/>
  <c r="F10" i="18"/>
  <c r="F11" i="18"/>
  <c r="F12" i="18"/>
  <c r="F13" i="18"/>
  <c r="F14" i="18"/>
  <c r="F15" i="18"/>
  <c r="F16" i="18"/>
  <c r="F17" i="18"/>
  <c r="F18" i="18"/>
  <c r="F19" i="18"/>
  <c r="F20" i="18"/>
  <c r="F21" i="18"/>
  <c r="F22" i="18"/>
  <c r="F23" i="18"/>
  <c r="F24" i="18"/>
  <c r="F25" i="18"/>
  <c r="F26" i="18"/>
  <c r="F27" i="18"/>
  <c r="F6" i="18"/>
  <c r="E27" i="18"/>
  <c r="E26" i="18"/>
  <c r="E25" i="18"/>
  <c r="E24" i="18"/>
  <c r="E23" i="18"/>
  <c r="E22" i="18"/>
  <c r="E21" i="18"/>
  <c r="E20" i="18"/>
  <c r="E19" i="18"/>
  <c r="E18" i="18"/>
  <c r="E17" i="18"/>
  <c r="E16" i="18"/>
  <c r="E15" i="18"/>
  <c r="E14" i="18"/>
  <c r="E13" i="18"/>
  <c r="E12" i="18"/>
  <c r="E11" i="18"/>
  <c r="E10" i="18"/>
  <c r="E9" i="18"/>
  <c r="E8" i="18"/>
  <c r="E7" i="18"/>
  <c r="E6" i="18"/>
  <c r="D27" i="18"/>
  <c r="D26" i="18"/>
  <c r="D25" i="18"/>
  <c r="D24" i="18"/>
  <c r="D23" i="18"/>
  <c r="D22" i="18"/>
  <c r="D21" i="18"/>
  <c r="D20" i="18"/>
  <c r="D19" i="18"/>
  <c r="D18" i="18"/>
  <c r="D17" i="18"/>
  <c r="D16" i="18"/>
  <c r="D15" i="18"/>
  <c r="D14" i="18"/>
  <c r="D13" i="18"/>
  <c r="D12" i="18"/>
  <c r="D11" i="18"/>
  <c r="D10" i="18"/>
  <c r="D9" i="18"/>
  <c r="D8" i="18"/>
  <c r="D7" i="18"/>
  <c r="D6" i="18"/>
  <c r="C27" i="18"/>
  <c r="C26" i="18"/>
  <c r="C25" i="18"/>
  <c r="C24" i="18"/>
  <c r="C23" i="18"/>
  <c r="C22" i="18"/>
  <c r="C21" i="18"/>
  <c r="C20" i="18"/>
  <c r="C19" i="18"/>
  <c r="C18" i="18"/>
  <c r="C17" i="18"/>
  <c r="C16" i="18"/>
  <c r="C15" i="18"/>
  <c r="C14" i="18"/>
  <c r="C13" i="18"/>
  <c r="C12" i="18"/>
  <c r="C11" i="18"/>
  <c r="C10" i="18"/>
  <c r="C9" i="18"/>
  <c r="C8" i="18"/>
  <c r="C7" i="18"/>
  <c r="C6" i="18"/>
  <c r="B27" i="18"/>
  <c r="B26" i="18"/>
  <c r="B25" i="18"/>
  <c r="B24" i="18"/>
  <c r="B23" i="18"/>
  <c r="B22" i="18"/>
  <c r="B21" i="18"/>
  <c r="B20" i="18"/>
  <c r="B19" i="18"/>
  <c r="B18" i="18"/>
  <c r="B17" i="18"/>
  <c r="B16" i="18"/>
  <c r="B15" i="18"/>
  <c r="B14" i="18"/>
  <c r="B13" i="18"/>
  <c r="B12" i="18"/>
  <c r="B11" i="18"/>
  <c r="B10" i="18"/>
  <c r="B9" i="18"/>
  <c r="B8" i="18"/>
  <c r="B7" i="18"/>
  <c r="B6" i="18"/>
  <c r="C22" i="19"/>
</calcChain>
</file>

<file path=xl/sharedStrings.xml><?xml version="1.0" encoding="utf-8"?>
<sst xmlns="http://schemas.openxmlformats.org/spreadsheetml/2006/main" count="405" uniqueCount="184">
  <si>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</si>
  <si>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</si>
  <si>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</si>
  <si>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</si>
  <si>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</si>
  <si>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</si>
  <si>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</si>
  <si>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</si>
  <si>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</si>
  <si>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</si>
  <si>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</si>
  <si>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</si>
  <si>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</si>
  <si>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</si>
  <si>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</si>
  <si>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</si>
  <si>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</si>
  <si>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</si>
  <si>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</si>
  <si>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</si>
  <si>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</si>
  <si>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</si>
  <si>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</si>
  <si>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</si>
  <si>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</si>
  <si>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</si>
  <si>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</si>
  <si>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</si>
  <si>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</si>
  <si>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</si>
  <si>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</si>
  <si>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</si>
  <si>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</si>
  <si>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</si>
  <si>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</si>
  <si>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</si>
  <si>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</si>
  <si>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</si>
  <si>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</si>
  <si>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</si>
  <si>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</si>
  <si>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</si>
  <si>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</si>
  <si>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</si>
  <si>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</si>
  <si>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</si>
  <si>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</si>
  <si>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</si>
  <si>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</si>
  <si>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</si>
  <si>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</si>
  <si>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</si>
  <si>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</si>
  <si>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</si>
  <si>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</si>
  <si>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</si>
  <si>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</si>
  <si>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</si>
  <si>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</si>
  <si>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</si>
  <si>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</si>
  <si>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</si>
  <si>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</si>
  <si>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</si>
  <si>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</si>
  <si>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</si>
  <si>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</si>
  <si>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</si>
  <si>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</si>
  <si>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</si>
  <si>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</si>
  <si>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</si>
  <si>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</si>
  <si>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</si>
  <si>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</si>
  <si>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</si>
  <si>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</si>
  <si>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</si>
  <si>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</si>
  <si>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</si>
  <si>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</si>
  <si>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</si>
  <si>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</si>
  <si>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</si>
  <si>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</si>
  <si>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</si>
  <si>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</si>
  <si>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</si>
  <si>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</si>
  <si>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</si>
  <si>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</si>
  <si>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</si>
  <si>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</si>
  <si>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</si>
  <si>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</si>
  <si>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</si>
  <si>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</si>
  <si>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</si>
  <si>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</si>
  <si>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</si>
  <si>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</si>
  <si>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</si>
  <si>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</si>
  <si>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</si>
  <si>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</si>
  <si>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</si>
  <si>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</si>
  <si>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</si>
  <si>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</si>
  <si>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</si>
  <si>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</si>
  <si>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</si>
  <si>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</si>
  <si>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</si>
  <si>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</si>
  <si>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</si>
  <si>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</si>
  <si>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</si>
  <si>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</si>
  <si>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</si>
  <si>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</si>
  <si>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</si>
  <si>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</si>
  <si>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</si>
  <si>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</si>
  <si>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</si>
  <si>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</si>
  <si>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</si>
  <si>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</si>
  <si>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</si>
  <si>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</si>
  <si>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</si>
  <si>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</si>
  <si>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</si>
  <si>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</si>
  <si>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</si>
  <si>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</si>
  <si>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</si>
  <si>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</si>
  <si>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</si>
  <si>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</si>
  <si>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</si>
  <si>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</si>
  <si>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</si>
  <si>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</si>
  <si>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</si>
  <si>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</si>
  <si>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</si>
  <si>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</si>
  <si>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</si>
  <si>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</si>
  <si>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</si>
  <si>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</si>
  <si>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</si>
  <si>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</si>
  <si>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</si>
  <si>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</si>
  <si>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</si>
  <si>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</si>
  <si>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</si>
  <si>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</si>
  <si>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</si>
  <si>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</si>
  <si>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</si>
  <si>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</si>
  <si>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</si>
  <si>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</si>
  <si>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</si>
  <si>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</si>
  <si>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</si>
  <si>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</si>
  <si>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</si>
  <si>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</si>
  <si>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</si>
  <si>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</si>
  <si>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</si>
  <si>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</si>
  <si>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First Selected the column sales, then press Ctlr+f, then select replace and in find what write "#N/A" and in replace with write "20" and then click to replace all and To Calculate sum use the formula =SUM(C12:C21)</t>
  </si>
  <si>
    <t>Select the cell from A16 to A54, the click on data and then go to text to  column, then choose delimeter as hyphen, then select where you want new column to begin and then click on finish.</t>
  </si>
  <si>
    <t>The Text to Columns feature essentially performs a string manipulation operation, extracting substrings based on the delimiter and creating new columns for each extracted part</t>
  </si>
  <si>
    <t>Formula/Functionality used:=INDEX(Table_A!B10:J18, MATCH(INDEX(Table_B!N10:N18, MATCH(A23, Table_B!M10:M18, 0)), Table_A!A10:A18, 0), MATCH(INDEX(Table_B!N10:N18, MATCH(B23, Table_B!M10:M18, 0)), Table_A!B9:J9, 0))</t>
  </si>
  <si>
    <t>Explanation:The formula retrieves a value from Table_A by using two nested MATCH functions to find the correct row and column indices based on corresponding IDs from Table_B. Specifically, it first matches the ID in cell A23 with the IDs in Table_B (column M) to find the corresponding name in column N. This name is then matched against the row names in Table_A (from A10 to A18) to determine the row index. Similarly, it matches the ID in cell B23 to find another name in Table_B, which is then matched against the column headers in Table_A (from B9 to J9) to determine the column index. Finally, the INDEX function uses these indices to return the value from the specified range in Table_A (B10).</t>
  </si>
  <si>
    <t>Find and Replace feature (Ctrl + F) to replace N/A with '20'. =SUM(C12:C21)  to calculate the total sum of the values in the range from cells C12 to C21.</t>
  </si>
  <si>
    <t xml:space="preserve">Formula used =SUMIF(H2:H40,"&gt;20")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</si>
</sst>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7"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7" fontId="7" fillId="0" borderId="0" xfId="0" applyNumberFormat="1" applyFont="1"/>
    <xf numFmtId="167" fontId="3" fillId="0" borderId="0" xfId="0" applyNumberFormat="1"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10">
    <dxf>
      <font>
        <color rgb="FF9C0006"/>
      </font>
      <fill>
        <patternFill>
          <bgColor rgb="FFFFC7CE"/>
        </patternFill>
      </fill>
    </dxf>
    <dxf>
      <font>
        <color rgb="FF006100"/>
      </font>
      <fill>
        <patternFill>
          <bgColor rgb="FFC6EFCE"/>
        </patternFill>
      </fill>
    </dxf>
    <dxf>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9"/>
      <tableStyleElement type="headerRow"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_A"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_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Dataset"/>
      <sheetName val="Task_1"/>
      <sheetName val="Task_2"/>
      <sheetName val="Task_3"/>
      <sheetName val="Task_4"/>
      <sheetName val="Task_5"/>
      <sheetName val="Table_A"/>
    </sheetNames>
    <sheetDataSet>
      <sheetData sheetId="0"/>
      <sheetData sheetId="1"/>
      <sheetData sheetId="2"/>
      <sheetData sheetId="3"/>
      <sheetData sheetId="4"/>
      <sheetData sheetId="5"/>
      <sheetData sheetId="6">
        <row r="9">
          <cell r="B9" t="str">
            <v>A</v>
          </cell>
          <cell r="C9" t="str">
            <v>B</v>
          </cell>
          <cell r="D9" t="str">
            <v>C</v>
          </cell>
          <cell r="E9" t="str">
            <v>D</v>
          </cell>
          <cell r="F9" t="str">
            <v>E</v>
          </cell>
          <cell r="G9" t="str">
            <v>F</v>
          </cell>
          <cell r="H9" t="str">
            <v>G</v>
          </cell>
          <cell r="I9" t="str">
            <v>H</v>
          </cell>
          <cell r="J9" t="str">
            <v>I</v>
          </cell>
        </row>
        <row r="10">
          <cell r="A10" t="str">
            <v>A</v>
          </cell>
          <cell r="B10">
            <v>-1</v>
          </cell>
          <cell r="C10">
            <v>95</v>
          </cell>
          <cell r="D10">
            <v>-1</v>
          </cell>
          <cell r="E10">
            <v>185</v>
          </cell>
          <cell r="F10">
            <v>255</v>
          </cell>
          <cell r="G10">
            <v>305</v>
          </cell>
          <cell r="H10">
            <v>415</v>
          </cell>
          <cell r="I10">
            <v>480</v>
          </cell>
          <cell r="J10">
            <v>525</v>
          </cell>
        </row>
        <row r="11">
          <cell r="A11" t="str">
            <v>B</v>
          </cell>
          <cell r="B11">
            <v>95</v>
          </cell>
          <cell r="C11">
            <v>-1</v>
          </cell>
          <cell r="D11">
            <v>-1</v>
          </cell>
          <cell r="E11">
            <v>90</v>
          </cell>
          <cell r="F11">
            <v>160</v>
          </cell>
          <cell r="G11">
            <v>210</v>
          </cell>
          <cell r="H11">
            <v>325</v>
          </cell>
          <cell r="I11">
            <v>390</v>
          </cell>
          <cell r="J11">
            <v>430</v>
          </cell>
        </row>
        <row r="12">
          <cell r="A12" t="str">
            <v>C</v>
          </cell>
          <cell r="B12">
            <v>-1</v>
          </cell>
          <cell r="C12">
            <v>-1</v>
          </cell>
          <cell r="D12">
            <v>-1</v>
          </cell>
          <cell r="E12">
            <v>60</v>
          </cell>
          <cell r="F12">
            <v>130</v>
          </cell>
          <cell r="G12">
            <v>180</v>
          </cell>
          <cell r="H12">
            <v>295</v>
          </cell>
          <cell r="I12">
            <v>355</v>
          </cell>
          <cell r="J12">
            <v>400</v>
          </cell>
        </row>
        <row r="13">
          <cell r="A13" t="str">
            <v>D</v>
          </cell>
          <cell r="B13">
            <v>185</v>
          </cell>
          <cell r="C13">
            <v>90</v>
          </cell>
          <cell r="D13">
            <v>60</v>
          </cell>
          <cell r="E13">
            <v>-1</v>
          </cell>
          <cell r="F13">
            <v>70</v>
          </cell>
          <cell r="G13">
            <v>120</v>
          </cell>
          <cell r="H13">
            <v>235</v>
          </cell>
          <cell r="I13">
            <v>300</v>
          </cell>
          <cell r="J13">
            <v>340</v>
          </cell>
        </row>
        <row r="14">
          <cell r="A14" t="str">
            <v>E</v>
          </cell>
          <cell r="B14">
            <v>255</v>
          </cell>
          <cell r="C14">
            <v>160</v>
          </cell>
          <cell r="D14">
            <v>130</v>
          </cell>
          <cell r="E14">
            <v>70</v>
          </cell>
          <cell r="F14">
            <v>-1</v>
          </cell>
          <cell r="G14">
            <v>50</v>
          </cell>
          <cell r="H14">
            <v>165</v>
          </cell>
          <cell r="I14">
            <v>230</v>
          </cell>
          <cell r="J14">
            <v>270</v>
          </cell>
        </row>
        <row r="15">
          <cell r="A15" t="str">
            <v>F</v>
          </cell>
          <cell r="B15">
            <v>305</v>
          </cell>
          <cell r="C15">
            <v>210</v>
          </cell>
          <cell r="D15">
            <v>180</v>
          </cell>
          <cell r="E15">
            <v>120</v>
          </cell>
          <cell r="F15">
            <v>50</v>
          </cell>
          <cell r="G15">
            <v>-1</v>
          </cell>
          <cell r="H15">
            <v>115</v>
          </cell>
          <cell r="I15">
            <v>180</v>
          </cell>
          <cell r="J15">
            <v>220</v>
          </cell>
        </row>
        <row r="16">
          <cell r="A16" t="str">
            <v>G</v>
          </cell>
          <cell r="B16">
            <v>415</v>
          </cell>
          <cell r="C16">
            <v>325</v>
          </cell>
          <cell r="D16">
            <v>295</v>
          </cell>
          <cell r="E16">
            <v>235</v>
          </cell>
          <cell r="F16">
            <v>165</v>
          </cell>
          <cell r="G16">
            <v>115</v>
          </cell>
          <cell r="H16">
            <v>-1</v>
          </cell>
          <cell r="I16">
            <v>65</v>
          </cell>
          <cell r="J16">
            <v>105</v>
          </cell>
        </row>
        <row r="17">
          <cell r="A17" t="str">
            <v>H</v>
          </cell>
          <cell r="B17">
            <v>480</v>
          </cell>
          <cell r="C17">
            <v>390</v>
          </cell>
          <cell r="D17">
            <v>355</v>
          </cell>
          <cell r="E17">
            <v>300</v>
          </cell>
          <cell r="F17">
            <v>230</v>
          </cell>
          <cell r="G17">
            <v>180</v>
          </cell>
          <cell r="H17">
            <v>65</v>
          </cell>
          <cell r="I17">
            <v>-1</v>
          </cell>
          <cell r="J17">
            <v>40</v>
          </cell>
        </row>
        <row r="18">
          <cell r="A18" t="str">
            <v>I</v>
          </cell>
          <cell r="B18">
            <v>525</v>
          </cell>
          <cell r="C18">
            <v>430</v>
          </cell>
          <cell r="D18">
            <v>400</v>
          </cell>
          <cell r="E18">
            <v>340</v>
          </cell>
          <cell r="F18">
            <v>270</v>
          </cell>
          <cell r="G18">
            <v>220</v>
          </cell>
          <cell r="H18">
            <v>105</v>
          </cell>
          <cell r="I18">
            <v>40</v>
          </cell>
          <cell r="J18">
            <v>-1</v>
          </cell>
        </row>
      </sheetData>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Dataset"/>
      <sheetName val="Task_1"/>
      <sheetName val="Task_2"/>
      <sheetName val="Task_3"/>
      <sheetName val="Task_4"/>
      <sheetName val="Task_5"/>
      <sheetName val="Table_B"/>
    </sheetNames>
    <sheetDataSet>
      <sheetData sheetId="0"/>
      <sheetData sheetId="1"/>
      <sheetData sheetId="2"/>
      <sheetData sheetId="3"/>
      <sheetData sheetId="4"/>
      <sheetData sheetId="5"/>
      <sheetData sheetId="6">
        <row r="10">
          <cell r="M10">
            <v>10100</v>
          </cell>
          <cell r="N10" t="str">
            <v>A</v>
          </cell>
        </row>
        <row r="11">
          <cell r="M11">
            <v>10102</v>
          </cell>
          <cell r="N11" t="str">
            <v>B</v>
          </cell>
        </row>
        <row r="12">
          <cell r="M12">
            <v>10104</v>
          </cell>
          <cell r="N12" t="str">
            <v>C</v>
          </cell>
        </row>
        <row r="13">
          <cell r="M13">
            <v>10106</v>
          </cell>
          <cell r="N13" t="str">
            <v>D</v>
          </cell>
        </row>
        <row r="14">
          <cell r="M14">
            <v>10108</v>
          </cell>
          <cell r="N14" t="str">
            <v>E</v>
          </cell>
        </row>
        <row r="15">
          <cell r="M15">
            <v>10110</v>
          </cell>
          <cell r="N15" t="str">
            <v>F</v>
          </cell>
        </row>
        <row r="16">
          <cell r="M16">
            <v>10112</v>
          </cell>
          <cell r="N16" t="str">
            <v>G</v>
          </cell>
        </row>
        <row r="17">
          <cell r="M17">
            <v>10114</v>
          </cell>
          <cell r="N17" t="str">
            <v>H</v>
          </cell>
        </row>
        <row r="18">
          <cell r="M18">
            <v>10116</v>
          </cell>
          <cell r="N18" t="str">
            <v>I</v>
          </cell>
        </row>
      </sheetData>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A5" sqref="A5"/>
    </sheetView>
  </sheetViews>
  <sheetFormatPr defaultColWidth="11" defaultRowHeight="13.8" x14ac:dyDescent="0.3"/>
  <cols>
    <col min="1" max="1" width="70.77734375" style="2" bestFit="1" customWidth="1"/>
    <col min="2" max="16384" width="11" style="2"/>
  </cols>
  <sheetData>
    <row r="1" spans="1:3" ht="18" x14ac:dyDescent="0.35">
      <c r="A1" s="39" t="s">
        <v>108</v>
      </c>
    </row>
    <row r="2" spans="1:3" x14ac:dyDescent="0.3">
      <c r="A2" s="2" t="s">
        <v>109</v>
      </c>
    </row>
    <row r="3" spans="1:3" x14ac:dyDescent="0.3">
      <c r="A3" s="2" t="s">
        <v>110</v>
      </c>
    </row>
    <row r="4" spans="1:3" ht="14.4" x14ac:dyDescent="0.3">
      <c r="A4" s="2" t="s">
        <v>176</v>
      </c>
      <c r="C4" s="1"/>
    </row>
    <row r="5" spans="1:3" x14ac:dyDescent="0.3">
      <c r="A5" s="2" t="s">
        <v>151</v>
      </c>
    </row>
    <row r="8" spans="1:3" x14ac:dyDescent="0.3">
      <c r="A8" s="2" t="s">
        <v>172</v>
      </c>
    </row>
    <row r="9" spans="1:3" x14ac:dyDescent="0.3">
      <c r="A9" s="36" t="s">
        <v>170</v>
      </c>
      <c r="B9" s="26" t="s">
        <v>168</v>
      </c>
    </row>
    <row r="10" spans="1:3" x14ac:dyDescent="0.3">
      <c r="A10" s="35" t="s">
        <v>171</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65" zoomScaleNormal="100" workbookViewId="0">
      <pane ySplit="1" topLeftCell="A2" activePane="bottomLeft" state="frozen"/>
      <selection activeCell="B1" sqref="B1"/>
      <selection pane="bottomLeft" activeCell="H42" sqref="H4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16384" width="9" style="1"/>
  </cols>
  <sheetData>
    <row r="1" spans="1:24" s="3" customFormat="1" ht="14.7" customHeight="1" x14ac:dyDescent="0.3">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5" t="s">
        <v>105</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6">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6">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6">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6">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6">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6">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6">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6">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6">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6">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6">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6">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6">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6">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6">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6">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6">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6">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6">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6">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6">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6">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6">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6">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6">
        <v>45142</v>
      </c>
    </row>
    <row r="27" spans="1:24" x14ac:dyDescent="0.3">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6">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6">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6">
        <v>45153</v>
      </c>
    </row>
    <row r="30" spans="1:24" x14ac:dyDescent="0.3">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6">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6">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6">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6">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6">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6">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6">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6">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6">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6">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6">
        <v>45162</v>
      </c>
    </row>
    <row r="41" spans="1:24" x14ac:dyDescent="0.3">
      <c r="H41" s="1">
        <f>SUMIF(H2:H40,"&gt;20")</f>
        <v>1473.0000000000002</v>
      </c>
    </row>
  </sheetData>
  <conditionalFormatting sqref="A1:A1048576">
    <cfRule type="duplicateValues" dxfId="7" priority="8"/>
  </conditionalFormatting>
  <conditionalFormatting sqref="B1:B1048576">
    <cfRule type="duplicateValues" dxfId="6" priority="7"/>
  </conditionalFormatting>
  <conditionalFormatting sqref="G2:R40">
    <cfRule type="expression" dxfId="5" priority="6">
      <formula>$G$2=1</formula>
    </cfRule>
    <cfRule type="expression" dxfId="4" priority="5">
      <formula>$G$2=0</formula>
    </cfRule>
  </conditionalFormatting>
  <conditionalFormatting sqref="G2:W40">
    <cfRule type="cellIs" dxfId="0" priority="4" operator="equal">
      <formula>0</formula>
    </cfRule>
    <cfRule type="cellIs" dxfId="1" priority="3" operator="equal">
      <formula>1</formula>
    </cfRule>
    <cfRule type="cellIs" dxfId="2" priority="2" operator="lessThan">
      <formula>0</formula>
    </cfRule>
    <cfRule type="cellIs" dxfId="3"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15" sqref="C15"/>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175</v>
      </c>
    </row>
    <row r="2" spans="1:5" x14ac:dyDescent="0.3">
      <c r="A2" s="2"/>
      <c r="B2" s="5" t="s">
        <v>159</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4" t="s">
        <v>183</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61" zoomScaleNormal="100" workbookViewId="0">
      <selection activeCell="A32" sqref="A32"/>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1" customFormat="1" ht="21" x14ac:dyDescent="0.4">
      <c r="A1" s="42" t="s">
        <v>55</v>
      </c>
      <c r="B1" s="41" t="s">
        <v>163</v>
      </c>
    </row>
    <row r="2" spans="1:7" s="41" customFormat="1" ht="21" x14ac:dyDescent="0.4">
      <c r="B2" s="41" t="s">
        <v>160</v>
      </c>
    </row>
    <row r="3" spans="1:7" ht="14.4" x14ac:dyDescent="0.3">
      <c r="A3" s="1"/>
      <c r="B3" s="1"/>
      <c r="C3" s="1"/>
      <c r="D3" s="1"/>
      <c r="E3" s="1"/>
      <c r="F3" s="1"/>
      <c r="G3" s="1"/>
    </row>
    <row r="4" spans="1:7" ht="23.4" x14ac:dyDescent="0.45">
      <c r="A4" s="18" t="s">
        <v>161</v>
      </c>
      <c r="B4" s="1"/>
      <c r="C4" s="1"/>
      <c r="D4" s="1"/>
      <c r="E4" s="1"/>
      <c r="F4" s="1"/>
      <c r="G4" s="1"/>
    </row>
    <row r="5" spans="1:7" ht="14.4" x14ac:dyDescent="0.3">
      <c r="A5" s="20" t="s">
        <v>64</v>
      </c>
      <c r="B5" s="21" t="s">
        <v>79</v>
      </c>
      <c r="C5" s="22" t="s">
        <v>71</v>
      </c>
      <c r="D5" s="21" t="s">
        <v>75</v>
      </c>
      <c r="E5" s="22" t="s">
        <v>76</v>
      </c>
      <c r="F5" s="23" t="s">
        <v>77</v>
      </c>
    </row>
    <row r="6" spans="1:7" ht="14.4" x14ac:dyDescent="0.3">
      <c r="A6" s="7" t="s">
        <v>40</v>
      </c>
      <c r="B6" s="12">
        <f>INDEX(Dataset!G2:G40, MATCH(Task_2!A6, Dataset!A2:A40,0))</f>
        <v>2.7</v>
      </c>
      <c r="C6" s="12">
        <f>INDEX(Dataset!N2:N40, MATCH(Task_2!A6, Dataset!A2:A40, 0))</f>
        <v>7.6</v>
      </c>
      <c r="D6" s="12">
        <f>INDEX(Dataset!R2:R40, MATCH(Task_2!A6, Dataset!A2:A40,0))</f>
        <v>4.2</v>
      </c>
      <c r="E6" s="12">
        <f>INDEX(Dataset!T2:T40, MATCH(Task_2!A6, Dataset!A2:A40,0))</f>
        <v>8.9</v>
      </c>
      <c r="F6" s="8">
        <f>INDEX(Dataset!V2:V40, MATCH(Task_2!A6, Dataset!A2:A40,0))</f>
        <v>4.2</v>
      </c>
    </row>
    <row r="7" spans="1:7" ht="14.4" x14ac:dyDescent="0.3">
      <c r="A7" s="7" t="s">
        <v>4</v>
      </c>
      <c r="B7" s="12">
        <f>INDEX(Dataset!G3:G41, MATCH(Task_2!A7, Dataset!A3:A41,0))</f>
        <v>2.7</v>
      </c>
      <c r="C7" s="12">
        <f>INDEX(Dataset!N3:N41, MATCH(Task_2!A7, Dataset!A3:A41, 0))</f>
        <v>7.6</v>
      </c>
      <c r="D7" s="12">
        <f>INDEX(Dataset!R3:R41, MATCH(Task_2!A7, Dataset!A3:A41,0))</f>
        <v>4.2</v>
      </c>
      <c r="E7" s="12">
        <f>INDEX(Dataset!T3:T41, MATCH(Task_2!A7, Dataset!A3:A41,0))</f>
        <v>8.9</v>
      </c>
      <c r="F7" s="8">
        <f>INDEX(Dataset!V3:V41, MATCH(Task_2!A7, Dataset!A3:A41,0))</f>
        <v>4.2</v>
      </c>
    </row>
    <row r="8" spans="1:7" ht="14.4" x14ac:dyDescent="0.3">
      <c r="A8" s="7" t="s">
        <v>7</v>
      </c>
      <c r="B8" s="12">
        <f>INDEX(Dataset!G4:G42, MATCH(Task_2!A8, Dataset!A4:A42,0))</f>
        <v>3.6</v>
      </c>
      <c r="C8" s="12">
        <f>INDEX(Dataset!N4:N42, MATCH(Task_2!A8, Dataset!A4:A42, 0))</f>
        <v>11.1</v>
      </c>
      <c r="D8" s="12">
        <f>INDEX(Dataset!R4:R42, MATCH(Task_2!A8, Dataset!A4:A42,0))</f>
        <v>5.8</v>
      </c>
      <c r="E8" s="12">
        <f>INDEX(Dataset!T4:T42, MATCH(Task_2!A8, Dataset!A4:A42,0))</f>
        <v>12.2</v>
      </c>
      <c r="F8" s="8">
        <f>INDEX(Dataset!V4:V42, MATCH(Task_2!A8, Dataset!A4:A42,0))</f>
        <v>5.8</v>
      </c>
    </row>
    <row r="9" spans="1:7" ht="14.4" x14ac:dyDescent="0.3">
      <c r="A9" s="7" t="s">
        <v>8</v>
      </c>
      <c r="B9" s="12">
        <f>INDEX(Dataset!G5:G43, MATCH(Task_2!A9, Dataset!A5:A43,0))</f>
        <v>4.9000000000000004</v>
      </c>
      <c r="C9" s="12">
        <f>INDEX(Dataset!N5:N43, MATCH(Task_2!A9, Dataset!A5:A43, 0))</f>
        <v>13.3</v>
      </c>
      <c r="D9" s="12">
        <f>INDEX(Dataset!R5:R43, MATCH(Task_2!A9, Dataset!A5:A43,0))</f>
        <v>8.1</v>
      </c>
      <c r="E9" s="12">
        <f>INDEX(Dataset!T5:T43, MATCH(Task_2!A9, Dataset!A5:A43,0))</f>
        <v>17</v>
      </c>
      <c r="F9" s="8">
        <f>INDEX(Dataset!V5:V43, MATCH(Task_2!A9, Dataset!A5:A43,0))</f>
        <v>8.1</v>
      </c>
    </row>
    <row r="10" spans="1:7" ht="14.4" x14ac:dyDescent="0.3">
      <c r="A10" s="7" t="s">
        <v>11</v>
      </c>
      <c r="B10" s="12">
        <f>INDEX(Dataset!G6:G44, MATCH(Task_2!A10, Dataset!A6:A44,0))</f>
        <v>9.4</v>
      </c>
      <c r="C10" s="12">
        <f>INDEX(Dataset!N6:N44, MATCH(Task_2!A10, Dataset!A6:A44, 0))</f>
        <v>28.3</v>
      </c>
      <c r="D10" s="12">
        <f>INDEX(Dataset!R6:R44, MATCH(Task_2!A10, Dataset!A6:A44,0))</f>
        <v>16.100000000000001</v>
      </c>
      <c r="E10" s="12">
        <f>INDEX(Dataset!T6:T44, MATCH(Task_2!A10, Dataset!A6:A44,0))</f>
        <v>32.799999999999997</v>
      </c>
      <c r="F10" s="8">
        <f>INDEX(Dataset!V6:V44, MATCH(Task_2!A10, Dataset!A6:A44,0))</f>
        <v>16.100000000000001</v>
      </c>
    </row>
    <row r="11" spans="1:7" ht="14.4" x14ac:dyDescent="0.3">
      <c r="A11" s="7" t="s">
        <v>12</v>
      </c>
      <c r="B11" s="12">
        <f>INDEX(Dataset!G7:G45, MATCH(Task_2!A11, Dataset!A7:A45,0))</f>
        <v>11.6</v>
      </c>
      <c r="C11" s="12">
        <f>INDEX(Dataset!N7:N45, MATCH(Task_2!A11, Dataset!A7:A45, 0))</f>
        <v>35.200000000000003</v>
      </c>
      <c r="D11" s="12">
        <f>INDEX(Dataset!R7:R45, MATCH(Task_2!A11, Dataset!A7:A45,0))</f>
        <v>21.3</v>
      </c>
      <c r="E11" s="12">
        <f>INDEX(Dataset!T7:T45, MATCH(Task_2!A11, Dataset!A7:A45,0))</f>
        <v>43</v>
      </c>
      <c r="F11" s="8">
        <f>INDEX(Dataset!V7:V45, MATCH(Task_2!A11, Dataset!A7:A45,0))</f>
        <v>21.3</v>
      </c>
    </row>
    <row r="12" spans="1:7" ht="14.4" x14ac:dyDescent="0.3">
      <c r="A12" s="7" t="s">
        <v>14</v>
      </c>
      <c r="B12" s="12">
        <f>INDEX(Dataset!G8:G46, MATCH(Task_2!A12, Dataset!A8:A46,0))</f>
        <v>18.399999999999999</v>
      </c>
      <c r="C12" s="12">
        <f>INDEX(Dataset!N8:N46, MATCH(Task_2!A12, Dataset!A8:A46, 0))</f>
        <v>55.6</v>
      </c>
      <c r="D12" s="12">
        <f>INDEX(Dataset!R8:R46, MATCH(Task_2!A12, Dataset!A8:A46,0))</f>
        <v>33.799999999999997</v>
      </c>
      <c r="E12" s="12">
        <f>INDEX(Dataset!T8:T46, MATCH(Task_2!A12, Dataset!A8:A46,0))</f>
        <v>67.900000000000006</v>
      </c>
      <c r="F12" s="8">
        <f>INDEX(Dataset!V8:V46, MATCH(Task_2!A12, Dataset!A8:A46,0))</f>
        <v>33.799999999999997</v>
      </c>
    </row>
    <row r="13" spans="1:7" ht="14.4" x14ac:dyDescent="0.3">
      <c r="A13" s="7" t="s">
        <v>15</v>
      </c>
      <c r="B13" s="12">
        <f>INDEX(Dataset!G9:G47, MATCH(Task_2!A13, Dataset!A9:A47,0))</f>
        <v>0</v>
      </c>
      <c r="C13" s="12">
        <f>INDEX(Dataset!N9:N47, MATCH(Task_2!A13, Dataset!A9:A47, 0))</f>
        <v>0</v>
      </c>
      <c r="D13" s="12">
        <f>INDEX(Dataset!R9:R47, MATCH(Task_2!A13, Dataset!A9:A47,0))</f>
        <v>0</v>
      </c>
      <c r="E13" s="12">
        <f>INDEX(Dataset!T9:T47, MATCH(Task_2!A13, Dataset!A9:A47,0))</f>
        <v>0</v>
      </c>
      <c r="F13" s="8">
        <f>INDEX(Dataset!V9:V47, MATCH(Task_2!A13, Dataset!A9:A47,0))</f>
        <v>0</v>
      </c>
    </row>
    <row r="14" spans="1:7" ht="14.4" x14ac:dyDescent="0.3">
      <c r="A14" s="7" t="s">
        <v>16</v>
      </c>
      <c r="B14" s="12">
        <f>INDEX(Dataset!G10:G48, MATCH(Task_2!A14, Dataset!A10:A48,0))</f>
        <v>21.9</v>
      </c>
      <c r="C14" s="12">
        <f>INDEX(Dataset!N10:N48, MATCH(Task_2!A14, Dataset!A10:A48, 0))</f>
        <v>61.5</v>
      </c>
      <c r="D14" s="12">
        <f>INDEX(Dataset!R10:R48, MATCH(Task_2!A14, Dataset!A10:A48,0))</f>
        <v>40.1</v>
      </c>
      <c r="E14" s="12">
        <f>INDEX(Dataset!T10:T48, MATCH(Task_2!A14, Dataset!A10:A48,0))</f>
        <v>76.599999999999994</v>
      </c>
      <c r="F14" s="8">
        <f>INDEX(Dataset!V10:V48, MATCH(Task_2!A14, Dataset!A10:A48,0))</f>
        <v>40.1</v>
      </c>
    </row>
    <row r="15" spans="1:7" ht="14.4" x14ac:dyDescent="0.3">
      <c r="A15" s="7" t="s">
        <v>18</v>
      </c>
      <c r="B15" s="12">
        <f>INDEX(Dataset!G11:G49, MATCH(Task_2!A15, Dataset!A11:A49,0))</f>
        <v>26.8</v>
      </c>
      <c r="C15" s="12">
        <f>INDEX(Dataset!N11:N49, MATCH(Task_2!A15, Dataset!A11:A49, 0))</f>
        <v>79.599999999999994</v>
      </c>
      <c r="D15" s="12">
        <f>INDEX(Dataset!R11:R49, MATCH(Task_2!A15, Dataset!A11:A49,0))</f>
        <v>47.9</v>
      </c>
      <c r="E15" s="12">
        <f>INDEX(Dataset!T11:T49, MATCH(Task_2!A15, Dataset!A11:A49,0))</f>
        <v>96.8</v>
      </c>
      <c r="F15" s="8">
        <f>INDEX(Dataset!V11:V49, MATCH(Task_2!A15, Dataset!A11:A49,0))</f>
        <v>47.9</v>
      </c>
    </row>
    <row r="16" spans="1:7" ht="14.4" x14ac:dyDescent="0.3">
      <c r="A16" s="7" t="s">
        <v>20</v>
      </c>
      <c r="B16" s="12">
        <f>INDEX(Dataset!G12:G50, MATCH(Task_2!A16, Dataset!A12:A50,0))</f>
        <v>28.5</v>
      </c>
      <c r="C16" s="12">
        <f>INDEX(Dataset!N12:N50, MATCH(Task_2!A16, Dataset!A12:A50, 0))</f>
        <v>85.4</v>
      </c>
      <c r="D16" s="12">
        <f>INDEX(Dataset!R12:R50, MATCH(Task_2!A16, Dataset!A12:A50,0))</f>
        <v>52.3</v>
      </c>
      <c r="E16" s="12">
        <f>INDEX(Dataset!T12:T50, MATCH(Task_2!A16, Dataset!A12:A50,0))</f>
        <v>106.1</v>
      </c>
      <c r="F16" s="8">
        <f>INDEX(Dataset!V12:V50, MATCH(Task_2!A16, Dataset!A12:A50,0))</f>
        <v>52.3</v>
      </c>
    </row>
    <row r="17" spans="1:6" ht="14.4" x14ac:dyDescent="0.3">
      <c r="A17" s="7" t="s">
        <v>22</v>
      </c>
      <c r="B17" s="12">
        <f>INDEX(Dataset!G13:G51, MATCH(Task_2!A17, Dataset!A13:A51,0))</f>
        <v>30.7</v>
      </c>
      <c r="C17" s="12">
        <f>INDEX(Dataset!N13:N51, MATCH(Task_2!A17, Dataset!A13:A51, 0))</f>
        <v>92.1</v>
      </c>
      <c r="D17" s="12">
        <f>INDEX(Dataset!R13:R51, MATCH(Task_2!A17, Dataset!A13:A51,0))</f>
        <v>57</v>
      </c>
      <c r="E17" s="12">
        <f>INDEX(Dataset!T13:T51, MATCH(Task_2!A17, Dataset!A13:A51,0))</f>
        <v>115.1</v>
      </c>
      <c r="F17" s="8">
        <f>INDEX(Dataset!V13:V51, MATCH(Task_2!A17, Dataset!A13:A51,0))</f>
        <v>57</v>
      </c>
    </row>
    <row r="18" spans="1:6" ht="14.4" x14ac:dyDescent="0.3">
      <c r="A18" s="7" t="s">
        <v>23</v>
      </c>
      <c r="B18" s="12">
        <f>INDEX(Dataset!G14:G52, MATCH(Task_2!A18, Dataset!A14:A52,0))</f>
        <v>33.799999999999997</v>
      </c>
      <c r="C18" s="12">
        <f>INDEX(Dataset!N14:N52, MATCH(Task_2!A18, Dataset!A14:A52, 0))</f>
        <v>101.3</v>
      </c>
      <c r="D18" s="12">
        <f>INDEX(Dataset!R14:R52, MATCH(Task_2!A18, Dataset!A14:A52,0))</f>
        <v>61.4</v>
      </c>
      <c r="E18" s="12">
        <f>INDEX(Dataset!T14:T52, MATCH(Task_2!A18, Dataset!A14:A52,0))</f>
        <v>124.4</v>
      </c>
      <c r="F18" s="8">
        <f>INDEX(Dataset!V14:V52, MATCH(Task_2!A18, Dataset!A14:A52,0))</f>
        <v>61.4</v>
      </c>
    </row>
    <row r="19" spans="1:6" ht="14.4" x14ac:dyDescent="0.3">
      <c r="A19" s="7" t="s">
        <v>24</v>
      </c>
      <c r="B19" s="12">
        <f>INDEX(Dataset!G15:G53, MATCH(Task_2!A19, Dataset!A15:A53,0))</f>
        <v>34.700000000000003</v>
      </c>
      <c r="C19" s="12">
        <f>INDEX(Dataset!N15:N53, MATCH(Task_2!A19, Dataset!A15:A53, 0))</f>
        <v>106.1</v>
      </c>
      <c r="D19" s="12">
        <f>INDEX(Dataset!R15:R53, MATCH(Task_2!A19, Dataset!A15:A53,0))</f>
        <v>63.6</v>
      </c>
      <c r="E19" s="12">
        <f>INDEX(Dataset!T15:T53, MATCH(Task_2!A19, Dataset!A15:A53,0))</f>
        <v>128.6</v>
      </c>
      <c r="F19" s="8">
        <f>INDEX(Dataset!V15:V53, MATCH(Task_2!A19, Dataset!A15:A53,0))</f>
        <v>63.6</v>
      </c>
    </row>
    <row r="20" spans="1:6" ht="14.4" x14ac:dyDescent="0.3">
      <c r="A20" s="7" t="s">
        <v>28</v>
      </c>
      <c r="B20" s="12">
        <f>INDEX(Dataset!G16:G54, MATCH(Task_2!A20, Dataset!A16:A54,0))</f>
        <v>0</v>
      </c>
      <c r="C20" s="12">
        <f>INDEX(Dataset!N16:N54, MATCH(Task_2!A20, Dataset!A16:A54, 0))</f>
        <v>0</v>
      </c>
      <c r="D20" s="12">
        <f>INDEX(Dataset!R16:R54, MATCH(Task_2!A20, Dataset!A16:A54,0))</f>
        <v>0</v>
      </c>
      <c r="E20" s="12">
        <f>INDEX(Dataset!T16:T54, MATCH(Task_2!A20, Dataset!A16:A54,0))</f>
        <v>0</v>
      </c>
      <c r="F20" s="8">
        <f>INDEX(Dataset!V16:V54, MATCH(Task_2!A20, Dataset!A16:A54,0))</f>
        <v>0</v>
      </c>
    </row>
    <row r="21" spans="1:6" ht="14.4" x14ac:dyDescent="0.3">
      <c r="A21" s="7" t="s">
        <v>57</v>
      </c>
      <c r="B21" s="12">
        <f>INDEX(Dataset!G17:G55, MATCH(Task_2!A21, Dataset!A17:A55,0))</f>
        <v>41.3</v>
      </c>
      <c r="C21" s="12">
        <f>INDEX(Dataset!N17:N55, MATCH(Task_2!A21, Dataset!A17:A55, 0))</f>
        <v>124.4</v>
      </c>
      <c r="D21" s="12">
        <f>INDEX(Dataset!R17:R55, MATCH(Task_2!A21, Dataset!A17:A55,0))</f>
        <v>75</v>
      </c>
      <c r="E21" s="12">
        <f>INDEX(Dataset!T17:T55, MATCH(Task_2!A21, Dataset!A17:A55,0))</f>
        <v>151.5</v>
      </c>
      <c r="F21" s="8">
        <f>INDEX(Dataset!V17:V55, MATCH(Task_2!A21, Dataset!A17:A55,0))</f>
        <v>75</v>
      </c>
    </row>
    <row r="22" spans="1:6" ht="14.4" x14ac:dyDescent="0.3">
      <c r="A22" s="7" t="s">
        <v>58</v>
      </c>
      <c r="B22" s="12">
        <f>INDEX(Dataset!G18:G56, MATCH(Task_2!A22, Dataset!A18:A56,0))</f>
        <v>-1</v>
      </c>
      <c r="C22" s="12">
        <f>INDEX(Dataset!N18:N56, MATCH(Task_2!A22, Dataset!A18:A56, 0))</f>
        <v>-1</v>
      </c>
      <c r="D22" s="12">
        <f>INDEX(Dataset!R18:R56, MATCH(Task_2!A22, Dataset!A18:A56,0))</f>
        <v>-1</v>
      </c>
      <c r="E22" s="12">
        <f>INDEX(Dataset!T18:T56, MATCH(Task_2!A22, Dataset!A18:A56,0))</f>
        <v>-1</v>
      </c>
      <c r="F22" s="8">
        <f>INDEX(Dataset!V18:V56, MATCH(Task_2!A22, Dataset!A18:A56,0))</f>
        <v>-1</v>
      </c>
    </row>
    <row r="23" spans="1:6" ht="14.4" x14ac:dyDescent="0.3">
      <c r="A23" s="7" t="s">
        <v>31</v>
      </c>
      <c r="B23" s="12">
        <f>INDEX(Dataset!G19:G57, MATCH(Task_2!A23, Dataset!A19:A57,0))</f>
        <v>45</v>
      </c>
      <c r="C23" s="12">
        <f>INDEX(Dataset!N19:N57, MATCH(Task_2!A23, Dataset!A19:A57, 0))</f>
        <v>133.4</v>
      </c>
      <c r="D23" s="12">
        <f>INDEX(Dataset!R19:R57, MATCH(Task_2!A23, Dataset!A19:A57,0))</f>
        <v>79.400000000000006</v>
      </c>
      <c r="E23" s="12">
        <f>INDEX(Dataset!T19:T57, MATCH(Task_2!A23, Dataset!A19:A57,0))</f>
        <v>160.9</v>
      </c>
      <c r="F23" s="8">
        <f>INDEX(Dataset!V19:V57, MATCH(Task_2!A23, Dataset!A19:A57,0))</f>
        <v>79.400000000000006</v>
      </c>
    </row>
    <row r="24" spans="1:6" ht="14.4" x14ac:dyDescent="0.3">
      <c r="A24" s="7" t="s">
        <v>32</v>
      </c>
      <c r="B24" s="12">
        <f>INDEX(Dataset!G20:G58, MATCH(Task_2!A24, Dataset!A20:A58,0))</f>
        <v>-1</v>
      </c>
      <c r="C24" s="12">
        <f>INDEX(Dataset!N20:N58, MATCH(Task_2!A24, Dataset!A20:A58, 0))</f>
        <v>-1</v>
      </c>
      <c r="D24" s="12">
        <f>INDEX(Dataset!R20:R58, MATCH(Task_2!A24, Dataset!A20:A58,0))</f>
        <v>-1</v>
      </c>
      <c r="E24" s="12">
        <f>INDEX(Dataset!T20:T58, MATCH(Task_2!A24, Dataset!A20:A58,0))</f>
        <v>-1</v>
      </c>
      <c r="F24" s="8">
        <f>INDEX(Dataset!V20:V58, MATCH(Task_2!A24, Dataset!A20:A58,0))</f>
        <v>-1</v>
      </c>
    </row>
    <row r="25" spans="1:6" ht="14.4" x14ac:dyDescent="0.3">
      <c r="A25" s="7" t="s">
        <v>34</v>
      </c>
      <c r="B25" s="12">
        <f>INDEX(Dataset!G21:G59, MATCH(Task_2!A25, Dataset!A21:A59,0))</f>
        <v>43.3</v>
      </c>
      <c r="C25" s="12">
        <f>INDEX(Dataset!N21:N59, MATCH(Task_2!A25, Dataset!A21:A59, 0))</f>
        <v>128.6</v>
      </c>
      <c r="D25" s="12">
        <f>INDEX(Dataset!R21:R59, MATCH(Task_2!A25, Dataset!A21:A59,0))</f>
        <v>79.400000000000006</v>
      </c>
      <c r="E25" s="12">
        <f>INDEX(Dataset!T21:T59, MATCH(Task_2!A25, Dataset!A21:A59,0))</f>
        <v>160.9</v>
      </c>
      <c r="F25" s="8">
        <f>INDEX(Dataset!V21:V59, MATCH(Task_2!A25, Dataset!A21:A59,0))</f>
        <v>79.400000000000006</v>
      </c>
    </row>
    <row r="26" spans="1:6" ht="14.4" x14ac:dyDescent="0.3">
      <c r="A26" s="7" t="s">
        <v>37</v>
      </c>
      <c r="B26" s="12">
        <f>INDEX(Dataset!G22:G60, MATCH(Task_2!A26, Dataset!A22:A60,0))</f>
        <v>49.1</v>
      </c>
      <c r="C26" s="12">
        <f>INDEX(Dataset!N22:N60, MATCH(Task_2!A26, Dataset!A22:A60, 0))</f>
        <v>146.80000000000001</v>
      </c>
      <c r="D26" s="12">
        <f>INDEX(Dataset!R22:R60, MATCH(Task_2!A26, Dataset!A22:A60,0))</f>
        <v>90.9</v>
      </c>
      <c r="E26" s="12">
        <f>INDEX(Dataset!T22:T60, MATCH(Task_2!A26, Dataset!A22:A60,0))</f>
        <v>183.5</v>
      </c>
      <c r="F26" s="8">
        <f>INDEX(Dataset!V22:V60, MATCH(Task_2!A26, Dataset!A22:A60,0))</f>
        <v>90.9</v>
      </c>
    </row>
    <row r="27" spans="1:6" ht="14.4" x14ac:dyDescent="0.3">
      <c r="A27" s="7" t="s">
        <v>39</v>
      </c>
      <c r="B27" s="12">
        <f>INDEX(Dataset!G23:G61, MATCH(Task_2!A27, Dataset!A23:A61,0))</f>
        <v>51.8</v>
      </c>
      <c r="C27" s="12">
        <f>INDEX(Dataset!N23:N61, MATCH(Task_2!A27, Dataset!A23:A61, 0))</f>
        <v>156.4</v>
      </c>
      <c r="D27" s="12">
        <f>INDEX(Dataset!R23:R61, MATCH(Task_2!A27, Dataset!A23:A61,0))</f>
        <v>93.1</v>
      </c>
      <c r="E27" s="12">
        <f>INDEX(Dataset!T23:T61, MATCH(Task_2!A27, Dataset!A23:A61,0))</f>
        <v>188.1</v>
      </c>
      <c r="F27" s="8">
        <f>INDEX(Dataset!V23:V61, MATCH(Task_2!A27, Dataset!A23:A61,0))</f>
        <v>93.1</v>
      </c>
    </row>
    <row r="28" spans="1:6" ht="14.4" x14ac:dyDescent="0.3">
      <c r="A28" s="19" t="s">
        <v>82</v>
      </c>
      <c r="B28" s="31">
        <f>MIN(B6:B27)</f>
        <v>-1</v>
      </c>
      <c r="C28" s="31">
        <f>MIN(C6:C27)</f>
        <v>-1</v>
      </c>
      <c r="D28" s="31">
        <f>MIN(D6:D27)</f>
        <v>-1</v>
      </c>
      <c r="E28" s="31">
        <f>MIN(E6:E27)</f>
        <v>-1</v>
      </c>
      <c r="F28" s="31">
        <f>MIN(F6:F27)</f>
        <v>-1</v>
      </c>
    </row>
    <row r="29" spans="1:6" ht="14.4" x14ac:dyDescent="0.3">
      <c r="A29" s="19" t="s">
        <v>83</v>
      </c>
      <c r="B29" s="31">
        <f>MAX(B6:B27)</f>
        <v>51.8</v>
      </c>
      <c r="C29" s="31">
        <f>MAX(C6:C27)</f>
        <v>156.4</v>
      </c>
      <c r="D29" s="31">
        <f>MAX(D6:D27)</f>
        <v>93.1</v>
      </c>
      <c r="E29" s="31">
        <f>MAX(E6:E27)</f>
        <v>188.1</v>
      </c>
      <c r="F29" s="31">
        <f>MAX(F6:F27)</f>
        <v>93.1</v>
      </c>
    </row>
    <row r="30" spans="1:6" ht="14.4" x14ac:dyDescent="0.3">
      <c r="A30" s="19" t="s">
        <v>84</v>
      </c>
      <c r="B30" s="31">
        <f>AVERAGE(B6:B27)</f>
        <v>20.827272727272728</v>
      </c>
      <c r="C30" s="31">
        <f>AVERAGE(C6:C27)</f>
        <v>62.377272727272725</v>
      </c>
      <c r="D30" s="31">
        <f>AVERAGE(D6:D27)</f>
        <v>37.800000000000004</v>
      </c>
      <c r="E30" s="31">
        <f>AVERAGE(E6:E27)</f>
        <v>76.418181818181822</v>
      </c>
      <c r="F30" s="31">
        <f>AVERAGE(F6:F27)</f>
        <v>37.800000000000004</v>
      </c>
    </row>
  </sheetData>
  <pageMargins left="0.7" right="0.7" top="0.75" bottom="0.75" header="0.3" footer="0.3"/>
  <ignoredErrors>
    <ignoredError sqref="F7:F27 B7:E2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I10" sqref="I10"/>
    </sheetView>
  </sheetViews>
  <sheetFormatPr defaultColWidth="11" defaultRowHeight="14.4" x14ac:dyDescent="0.3"/>
  <cols>
    <col min="1" max="1" width="39.77734375" style="1" bestFit="1" customWidth="1"/>
    <col min="2" max="16384" width="11" style="1"/>
  </cols>
  <sheetData>
    <row r="1" spans="1:10" s="41" customFormat="1" ht="21" x14ac:dyDescent="0.4">
      <c r="A1" s="42" t="s">
        <v>56</v>
      </c>
      <c r="B1" s="41" t="s">
        <v>173</v>
      </c>
    </row>
    <row r="2" spans="1:10" customFormat="1" ht="13.2" x14ac:dyDescent="0.25"/>
    <row r="3" spans="1:10" s="2" customFormat="1" x14ac:dyDescent="0.3">
      <c r="B3" s="1"/>
    </row>
    <row r="4" spans="1:10" s="2" customFormat="1" x14ac:dyDescent="0.3">
      <c r="B4" s="1" t="s">
        <v>150</v>
      </c>
    </row>
    <row r="5" spans="1:10" ht="18" x14ac:dyDescent="0.35">
      <c r="A5" s="43" t="s">
        <v>53</v>
      </c>
      <c r="B5" s="40" t="s">
        <v>179</v>
      </c>
    </row>
    <row r="6" spans="1:10" ht="18" x14ac:dyDescent="0.35">
      <c r="A6" s="43" t="s">
        <v>152</v>
      </c>
      <c r="B6" s="40" t="s">
        <v>178</v>
      </c>
    </row>
    <row r="7" spans="1:10" ht="18" x14ac:dyDescent="0.35">
      <c r="A7" s="43"/>
      <c r="B7" s="40"/>
    </row>
    <row r="9" spans="1:10" ht="23.4" x14ac:dyDescent="0.45">
      <c r="A9" s="18" t="s">
        <v>164</v>
      </c>
      <c r="I9" s="2"/>
      <c r="J9" s="2"/>
    </row>
    <row r="10" spans="1:10" x14ac:dyDescent="0.3">
      <c r="A10" s="33" t="s">
        <v>102</v>
      </c>
      <c r="B10" s="17" t="s">
        <v>49</v>
      </c>
      <c r="C10" s="17" t="s">
        <v>50</v>
      </c>
      <c r="D10" s="17" t="s">
        <v>51</v>
      </c>
      <c r="E10" s="17" t="s">
        <v>52</v>
      </c>
      <c r="F10" s="17" t="s">
        <v>54</v>
      </c>
      <c r="I10" s="2"/>
      <c r="J10" s="2"/>
    </row>
    <row r="11" spans="1:10" x14ac:dyDescent="0.3">
      <c r="A11" s="9" t="s">
        <v>120</v>
      </c>
      <c r="B11" s="13">
        <v>20000</v>
      </c>
      <c r="C11" s="13" t="s">
        <v>5</v>
      </c>
      <c r="D11" s="13">
        <v>0</v>
      </c>
      <c r="E11" s="11" t="s">
        <v>6</v>
      </c>
      <c r="F11" s="11">
        <v>24</v>
      </c>
      <c r="I11" s="2"/>
      <c r="J11" s="2"/>
    </row>
    <row r="14" spans="1:10" ht="23.4" x14ac:dyDescent="0.45">
      <c r="A14" s="18" t="s">
        <v>161</v>
      </c>
    </row>
    <row r="15" spans="1:10" x14ac:dyDescent="0.3">
      <c r="A15" s="14" t="s">
        <v>103</v>
      </c>
      <c r="B15" s="17" t="s">
        <v>49</v>
      </c>
      <c r="C15" s="15" t="s">
        <v>50</v>
      </c>
      <c r="D15" s="17" t="s">
        <v>51</v>
      </c>
      <c r="E15" s="15" t="s">
        <v>52</v>
      </c>
      <c r="F15" s="17" t="s">
        <v>54</v>
      </c>
    </row>
    <row r="16" spans="1:10" x14ac:dyDescent="0.3">
      <c r="A16" s="7" t="s">
        <v>120</v>
      </c>
      <c r="B16" s="12">
        <v>20000</v>
      </c>
      <c r="C16" s="1" t="s">
        <v>5</v>
      </c>
      <c r="D16" s="12">
        <v>0</v>
      </c>
      <c r="E16" s="1" t="s">
        <v>6</v>
      </c>
      <c r="F16" s="12">
        <v>24</v>
      </c>
    </row>
    <row r="17" spans="1:6" x14ac:dyDescent="0.3">
      <c r="A17" s="7" t="s">
        <v>121</v>
      </c>
      <c r="B17" s="12">
        <v>20002</v>
      </c>
      <c r="C17" s="1" t="s">
        <v>5</v>
      </c>
      <c r="D17" s="12">
        <v>0</v>
      </c>
      <c r="E17" s="1" t="s">
        <v>6</v>
      </c>
      <c r="F17" s="12">
        <v>24</v>
      </c>
    </row>
    <row r="18" spans="1:6" x14ac:dyDescent="0.3">
      <c r="A18" s="7" t="s">
        <v>122</v>
      </c>
      <c r="B18" s="12">
        <v>20004</v>
      </c>
      <c r="C18" s="1" t="s">
        <v>5</v>
      </c>
      <c r="D18" s="12">
        <v>0</v>
      </c>
      <c r="E18" s="1" t="s">
        <v>6</v>
      </c>
      <c r="F18" s="12">
        <v>24</v>
      </c>
    </row>
    <row r="19" spans="1:6" x14ac:dyDescent="0.3">
      <c r="A19" s="7" t="s">
        <v>123</v>
      </c>
      <c r="B19" s="12">
        <v>20006</v>
      </c>
      <c r="C19" s="1" t="s">
        <v>5</v>
      </c>
      <c r="D19" s="12">
        <v>0</v>
      </c>
      <c r="E19" s="1" t="s">
        <v>6</v>
      </c>
      <c r="F19" s="12">
        <v>24</v>
      </c>
    </row>
    <row r="20" spans="1:6" x14ac:dyDescent="0.3">
      <c r="A20" s="7" t="s">
        <v>124</v>
      </c>
      <c r="B20" s="12">
        <v>20008</v>
      </c>
      <c r="C20" s="1" t="s">
        <v>5</v>
      </c>
      <c r="D20" s="12">
        <v>0</v>
      </c>
      <c r="E20" s="1" t="s">
        <v>6</v>
      </c>
      <c r="F20" s="12">
        <v>24</v>
      </c>
    </row>
    <row r="21" spans="1:6" x14ac:dyDescent="0.3">
      <c r="A21" s="7" t="s">
        <v>125</v>
      </c>
      <c r="B21" s="12">
        <v>20010</v>
      </c>
      <c r="C21" s="1" t="s">
        <v>5</v>
      </c>
      <c r="D21" s="12">
        <v>0</v>
      </c>
      <c r="E21" s="1" t="s">
        <v>6</v>
      </c>
      <c r="F21" s="12">
        <v>24</v>
      </c>
    </row>
    <row r="22" spans="1:6" x14ac:dyDescent="0.3">
      <c r="A22" s="7" t="s">
        <v>126</v>
      </c>
      <c r="B22" s="12">
        <v>20012</v>
      </c>
      <c r="C22" s="1" t="s">
        <v>5</v>
      </c>
      <c r="D22" s="12">
        <v>0</v>
      </c>
      <c r="E22" s="1" t="s">
        <v>6</v>
      </c>
      <c r="F22" s="12">
        <v>24</v>
      </c>
    </row>
    <row r="23" spans="1:6" x14ac:dyDescent="0.3">
      <c r="A23" s="7" t="s">
        <v>127</v>
      </c>
      <c r="B23" s="12">
        <v>20014</v>
      </c>
      <c r="C23" s="1" t="s">
        <v>5</v>
      </c>
      <c r="D23" s="12">
        <v>0</v>
      </c>
      <c r="E23" s="1" t="s">
        <v>6</v>
      </c>
      <c r="F23" s="12">
        <v>24</v>
      </c>
    </row>
    <row r="24" spans="1:6" x14ac:dyDescent="0.3">
      <c r="A24" s="7" t="s">
        <v>128</v>
      </c>
      <c r="B24" s="12">
        <v>20016</v>
      </c>
      <c r="C24" s="1" t="s">
        <v>5</v>
      </c>
      <c r="D24" s="12">
        <v>0</v>
      </c>
      <c r="E24" s="1" t="s">
        <v>6</v>
      </c>
      <c r="F24" s="12">
        <v>24</v>
      </c>
    </row>
    <row r="25" spans="1:6" x14ac:dyDescent="0.3">
      <c r="A25" s="7" t="s">
        <v>129</v>
      </c>
      <c r="B25" s="12">
        <v>20018</v>
      </c>
      <c r="C25" s="1" t="s">
        <v>5</v>
      </c>
      <c r="D25" s="12">
        <v>0</v>
      </c>
      <c r="E25" s="1" t="s">
        <v>6</v>
      </c>
      <c r="F25" s="12">
        <v>24</v>
      </c>
    </row>
    <row r="26" spans="1:6" x14ac:dyDescent="0.3">
      <c r="A26" s="7" t="s">
        <v>130</v>
      </c>
      <c r="B26" s="12">
        <v>20020</v>
      </c>
      <c r="C26" s="1" t="s">
        <v>5</v>
      </c>
      <c r="D26" s="12">
        <v>0</v>
      </c>
      <c r="E26" s="1" t="s">
        <v>6</v>
      </c>
      <c r="F26" s="12">
        <v>24</v>
      </c>
    </row>
    <row r="27" spans="1:6" x14ac:dyDescent="0.3">
      <c r="A27" s="7" t="s">
        <v>131</v>
      </c>
      <c r="B27" s="12">
        <v>20022</v>
      </c>
      <c r="C27" s="1" t="s">
        <v>5</v>
      </c>
      <c r="D27" s="12">
        <v>0</v>
      </c>
      <c r="E27" s="1" t="s">
        <v>6</v>
      </c>
      <c r="F27" s="12">
        <v>24</v>
      </c>
    </row>
    <row r="28" spans="1:6" x14ac:dyDescent="0.3">
      <c r="A28" s="7" t="s">
        <v>132</v>
      </c>
      <c r="B28" s="12">
        <v>20024</v>
      </c>
      <c r="C28" s="1" t="s">
        <v>5</v>
      </c>
      <c r="D28" s="12">
        <v>0</v>
      </c>
      <c r="E28" s="1" t="s">
        <v>6</v>
      </c>
      <c r="F28" s="12">
        <v>24</v>
      </c>
    </row>
    <row r="29" spans="1:6" x14ac:dyDescent="0.3">
      <c r="A29" s="7" t="s">
        <v>133</v>
      </c>
      <c r="B29" s="12">
        <v>20026</v>
      </c>
      <c r="C29" s="1" t="s">
        <v>5</v>
      </c>
      <c r="D29" s="12">
        <v>0</v>
      </c>
      <c r="E29" s="1" t="s">
        <v>6</v>
      </c>
      <c r="F29" s="12">
        <v>24</v>
      </c>
    </row>
    <row r="30" spans="1:6" x14ac:dyDescent="0.3">
      <c r="A30" s="7" t="s">
        <v>134</v>
      </c>
      <c r="B30" s="12">
        <v>20028</v>
      </c>
      <c r="C30" s="1" t="s">
        <v>5</v>
      </c>
      <c r="D30" s="12">
        <v>0</v>
      </c>
      <c r="E30" s="1" t="s">
        <v>6</v>
      </c>
      <c r="F30" s="12">
        <v>24</v>
      </c>
    </row>
    <row r="31" spans="1:6" x14ac:dyDescent="0.3">
      <c r="A31" s="7" t="s">
        <v>135</v>
      </c>
      <c r="B31" s="12">
        <v>20030</v>
      </c>
      <c r="C31" s="1" t="s">
        <v>5</v>
      </c>
      <c r="D31" s="12">
        <v>0</v>
      </c>
      <c r="E31" s="1" t="s">
        <v>6</v>
      </c>
      <c r="F31" s="12">
        <v>24</v>
      </c>
    </row>
    <row r="32" spans="1:6" x14ac:dyDescent="0.3">
      <c r="A32" s="7" t="s">
        <v>136</v>
      </c>
      <c r="B32" s="12">
        <v>20032</v>
      </c>
      <c r="C32" s="1" t="s">
        <v>5</v>
      </c>
      <c r="D32" s="12">
        <v>0</v>
      </c>
      <c r="E32" s="1" t="s">
        <v>6</v>
      </c>
      <c r="F32" s="12">
        <v>24</v>
      </c>
    </row>
    <row r="33" spans="1:6" x14ac:dyDescent="0.3">
      <c r="A33" s="7" t="s">
        <v>137</v>
      </c>
      <c r="B33" s="12">
        <v>20034</v>
      </c>
      <c r="C33" s="1" t="s">
        <v>5</v>
      </c>
      <c r="D33" s="12">
        <v>0</v>
      </c>
      <c r="E33" s="1" t="s">
        <v>6</v>
      </c>
      <c r="F33" s="12">
        <v>24</v>
      </c>
    </row>
    <row r="34" spans="1:6" x14ac:dyDescent="0.3">
      <c r="A34" s="7" t="s">
        <v>138</v>
      </c>
      <c r="B34" s="12">
        <v>20036</v>
      </c>
      <c r="C34" s="1" t="s">
        <v>5</v>
      </c>
      <c r="D34" s="12">
        <v>0</v>
      </c>
      <c r="E34" s="1" t="s">
        <v>6</v>
      </c>
      <c r="F34" s="12">
        <v>24</v>
      </c>
    </row>
    <row r="35" spans="1:6" x14ac:dyDescent="0.3">
      <c r="A35" s="7" t="s">
        <v>139</v>
      </c>
      <c r="B35" s="12">
        <v>20038</v>
      </c>
      <c r="C35" s="1" t="s">
        <v>5</v>
      </c>
      <c r="D35" s="12">
        <v>0</v>
      </c>
      <c r="E35" s="1" t="s">
        <v>6</v>
      </c>
      <c r="F35" s="12">
        <v>24</v>
      </c>
    </row>
    <row r="36" spans="1:6" x14ac:dyDescent="0.3">
      <c r="A36" s="7" t="s">
        <v>140</v>
      </c>
      <c r="B36" s="12">
        <v>20040</v>
      </c>
      <c r="C36" s="1" t="s">
        <v>5</v>
      </c>
      <c r="D36" s="12">
        <v>0</v>
      </c>
      <c r="E36" s="1" t="s">
        <v>6</v>
      </c>
      <c r="F36" s="12">
        <v>24</v>
      </c>
    </row>
    <row r="37" spans="1:6" x14ac:dyDescent="0.3">
      <c r="A37" s="7" t="s">
        <v>141</v>
      </c>
      <c r="B37" s="12">
        <v>20042</v>
      </c>
      <c r="C37" s="1" t="s">
        <v>5</v>
      </c>
      <c r="D37" s="12">
        <v>0</v>
      </c>
      <c r="E37" s="1" t="s">
        <v>6</v>
      </c>
      <c r="F37" s="12">
        <v>24</v>
      </c>
    </row>
    <row r="38" spans="1:6" x14ac:dyDescent="0.3">
      <c r="A38" s="7" t="s">
        <v>142</v>
      </c>
      <c r="B38" s="12">
        <v>20044</v>
      </c>
      <c r="C38" s="1" t="s">
        <v>5</v>
      </c>
      <c r="D38" s="12">
        <v>0</v>
      </c>
      <c r="E38" s="1" t="s">
        <v>6</v>
      </c>
      <c r="F38" s="12">
        <v>24</v>
      </c>
    </row>
    <row r="39" spans="1:6" x14ac:dyDescent="0.3">
      <c r="A39" s="7" t="s">
        <v>143</v>
      </c>
      <c r="B39" s="12">
        <v>20046</v>
      </c>
      <c r="C39" s="1" t="s">
        <v>5</v>
      </c>
      <c r="D39" s="12">
        <v>0</v>
      </c>
      <c r="E39" s="1" t="s">
        <v>6</v>
      </c>
      <c r="F39" s="12">
        <v>24</v>
      </c>
    </row>
    <row r="40" spans="1:6" x14ac:dyDescent="0.3">
      <c r="A40" s="7" t="s">
        <v>144</v>
      </c>
      <c r="B40" s="12">
        <v>20048</v>
      </c>
      <c r="C40" s="1" t="s">
        <v>5</v>
      </c>
      <c r="D40" s="12">
        <v>0</v>
      </c>
      <c r="E40" s="1" t="s">
        <v>6</v>
      </c>
      <c r="F40" s="12">
        <v>24</v>
      </c>
    </row>
    <row r="41" spans="1:6" x14ac:dyDescent="0.3">
      <c r="A41" s="7" t="s">
        <v>145</v>
      </c>
      <c r="B41" s="12">
        <v>20050</v>
      </c>
      <c r="C41" s="1" t="s">
        <v>5</v>
      </c>
      <c r="D41" s="12">
        <v>0</v>
      </c>
      <c r="E41" s="1" t="s">
        <v>6</v>
      </c>
      <c r="F41" s="12">
        <v>24</v>
      </c>
    </row>
    <row r="42" spans="1:6" x14ac:dyDescent="0.3">
      <c r="A42" s="7" t="s">
        <v>146</v>
      </c>
      <c r="B42" s="12">
        <v>20052</v>
      </c>
      <c r="C42" s="1" t="s">
        <v>5</v>
      </c>
      <c r="D42" s="12">
        <v>0</v>
      </c>
      <c r="E42" s="1" t="s">
        <v>6</v>
      </c>
      <c r="F42" s="12">
        <v>24</v>
      </c>
    </row>
    <row r="43" spans="1:6" x14ac:dyDescent="0.3">
      <c r="A43" s="7" t="s">
        <v>147</v>
      </c>
      <c r="B43" s="12">
        <v>20054</v>
      </c>
      <c r="C43" s="1" t="s">
        <v>5</v>
      </c>
      <c r="D43" s="12">
        <v>0</v>
      </c>
      <c r="E43" s="1" t="s">
        <v>6</v>
      </c>
      <c r="F43" s="12">
        <v>24</v>
      </c>
    </row>
    <row r="44" spans="1:6" x14ac:dyDescent="0.3">
      <c r="A44" s="7" t="s">
        <v>148</v>
      </c>
      <c r="B44" s="12">
        <v>20058</v>
      </c>
      <c r="C44" s="1" t="s">
        <v>5</v>
      </c>
      <c r="D44" s="12">
        <v>0</v>
      </c>
      <c r="E44" s="1" t="s">
        <v>6</v>
      </c>
      <c r="F44" s="12">
        <v>24</v>
      </c>
    </row>
    <row r="45" spans="1:6" x14ac:dyDescent="0.3">
      <c r="A45" s="7" t="s">
        <v>149</v>
      </c>
      <c r="B45" s="12">
        <v>20060</v>
      </c>
      <c r="C45" s="1" t="s">
        <v>5</v>
      </c>
      <c r="D45" s="12">
        <v>0</v>
      </c>
      <c r="E45" s="1" t="s">
        <v>6</v>
      </c>
      <c r="F45" s="12">
        <v>24</v>
      </c>
    </row>
    <row r="46" spans="1:6" x14ac:dyDescent="0.3">
      <c r="A46" s="7" t="s">
        <v>111</v>
      </c>
      <c r="B46" s="12">
        <v>21000</v>
      </c>
      <c r="C46" s="1" t="s">
        <v>5</v>
      </c>
      <c r="D46" s="12">
        <v>0</v>
      </c>
      <c r="E46" s="1" t="s">
        <v>6</v>
      </c>
      <c r="F46" s="12">
        <v>24</v>
      </c>
    </row>
    <row r="47" spans="1:6" x14ac:dyDescent="0.3">
      <c r="A47" s="7" t="s">
        <v>112</v>
      </c>
      <c r="B47" s="12">
        <v>21002</v>
      </c>
      <c r="C47" s="1" t="s">
        <v>5</v>
      </c>
      <c r="D47" s="12">
        <v>0</v>
      </c>
      <c r="E47" s="1" t="s">
        <v>6</v>
      </c>
      <c r="F47" s="12">
        <v>24</v>
      </c>
    </row>
    <row r="48" spans="1:6" x14ac:dyDescent="0.3">
      <c r="A48" s="7" t="s">
        <v>113</v>
      </c>
      <c r="B48" s="12">
        <v>21004</v>
      </c>
      <c r="C48" s="1" t="s">
        <v>5</v>
      </c>
      <c r="D48" s="12">
        <v>0</v>
      </c>
      <c r="E48" s="1" t="s">
        <v>6</v>
      </c>
      <c r="F48" s="12">
        <v>24</v>
      </c>
    </row>
    <row r="49" spans="1:6" x14ac:dyDescent="0.3">
      <c r="A49" s="7" t="s">
        <v>114</v>
      </c>
      <c r="B49" s="12">
        <v>21006</v>
      </c>
      <c r="C49" s="1" t="s">
        <v>5</v>
      </c>
      <c r="D49" s="12">
        <v>0</v>
      </c>
      <c r="E49" s="1" t="s">
        <v>6</v>
      </c>
      <c r="F49" s="12">
        <v>24</v>
      </c>
    </row>
    <row r="50" spans="1:6" x14ac:dyDescent="0.3">
      <c r="A50" s="7" t="s">
        <v>115</v>
      </c>
      <c r="B50" s="12">
        <v>21008</v>
      </c>
      <c r="C50" s="1" t="s">
        <v>5</v>
      </c>
      <c r="D50" s="12">
        <v>0</v>
      </c>
      <c r="E50" s="1" t="s">
        <v>6</v>
      </c>
      <c r="F50" s="12">
        <v>24</v>
      </c>
    </row>
    <row r="51" spans="1:6" x14ac:dyDescent="0.3">
      <c r="A51" s="7" t="s">
        <v>116</v>
      </c>
      <c r="B51" s="12">
        <v>21010</v>
      </c>
      <c r="C51" s="1" t="s">
        <v>5</v>
      </c>
      <c r="D51" s="12">
        <v>0</v>
      </c>
      <c r="E51" s="1" t="s">
        <v>6</v>
      </c>
      <c r="F51" s="12">
        <v>24</v>
      </c>
    </row>
    <row r="52" spans="1:6" x14ac:dyDescent="0.3">
      <c r="A52" s="7" t="s">
        <v>117</v>
      </c>
      <c r="B52" s="12">
        <v>21012</v>
      </c>
      <c r="C52" s="1" t="s">
        <v>5</v>
      </c>
      <c r="D52" s="12">
        <v>0</v>
      </c>
      <c r="E52" s="1" t="s">
        <v>6</v>
      </c>
      <c r="F52" s="12">
        <v>24</v>
      </c>
    </row>
    <row r="53" spans="1:6" x14ac:dyDescent="0.3">
      <c r="A53" s="7" t="s">
        <v>118</v>
      </c>
      <c r="B53" s="12">
        <v>21014</v>
      </c>
      <c r="C53" s="1" t="s">
        <v>5</v>
      </c>
      <c r="D53" s="12">
        <v>0</v>
      </c>
      <c r="E53" s="1" t="s">
        <v>6</v>
      </c>
      <c r="F53" s="12">
        <v>24</v>
      </c>
    </row>
    <row r="54" spans="1:6" x14ac:dyDescent="0.3">
      <c r="A54" s="9" t="s">
        <v>119</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H16" sqref="H16"/>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2" t="s">
        <v>85</v>
      </c>
      <c r="B1" s="41" t="s">
        <v>166</v>
      </c>
    </row>
    <row r="2" spans="1:3" ht="18" x14ac:dyDescent="0.35">
      <c r="B2" s="40" t="s">
        <v>165</v>
      </c>
    </row>
    <row r="5" spans="1:3" ht="14.4" x14ac:dyDescent="0.3">
      <c r="B5" s="1" t="s">
        <v>150</v>
      </c>
    </row>
    <row r="6" spans="1:3" ht="14.4" x14ac:dyDescent="0.3">
      <c r="A6" s="3" t="s">
        <v>53</v>
      </c>
      <c r="B6" s="1" t="s">
        <v>182</v>
      </c>
    </row>
    <row r="7" spans="1:3" ht="14.4" x14ac:dyDescent="0.3">
      <c r="A7" s="3" t="s">
        <v>152</v>
      </c>
      <c r="B7" s="1" t="s">
        <v>177</v>
      </c>
    </row>
    <row r="10" spans="1:3" ht="23.4" x14ac:dyDescent="0.45">
      <c r="A10" s="18" t="s">
        <v>161</v>
      </c>
    </row>
    <row r="11" spans="1:3" ht="14.4" x14ac:dyDescent="0.3">
      <c r="A11" s="32" t="s">
        <v>86</v>
      </c>
      <c r="B11" s="17" t="s">
        <v>87</v>
      </c>
      <c r="C11" s="17" t="s">
        <v>88</v>
      </c>
    </row>
    <row r="12" spans="1:3" ht="14.4" x14ac:dyDescent="0.3">
      <c r="A12" s="32">
        <v>44927</v>
      </c>
      <c r="B12" s="17" t="s">
        <v>59</v>
      </c>
      <c r="C12" s="17">
        <v>200</v>
      </c>
    </row>
    <row r="13" spans="1:3" ht="14.4" x14ac:dyDescent="0.3">
      <c r="A13" s="32">
        <v>44928</v>
      </c>
      <c r="B13" s="17" t="s">
        <v>60</v>
      </c>
      <c r="C13" s="17">
        <v>20</v>
      </c>
    </row>
    <row r="14" spans="1:3" ht="14.4" x14ac:dyDescent="0.3">
      <c r="A14" s="32">
        <v>44929</v>
      </c>
      <c r="B14" s="17" t="s">
        <v>61</v>
      </c>
      <c r="C14" s="17">
        <v>50</v>
      </c>
    </row>
    <row r="15" spans="1:3" ht="14.4" x14ac:dyDescent="0.3">
      <c r="A15" s="32">
        <v>44930</v>
      </c>
      <c r="B15" s="17" t="s">
        <v>62</v>
      </c>
      <c r="C15" s="17">
        <v>20</v>
      </c>
    </row>
    <row r="16" spans="1:3" ht="14.4" x14ac:dyDescent="0.3">
      <c r="A16" s="32">
        <v>44931</v>
      </c>
      <c r="B16" s="17" t="s">
        <v>63</v>
      </c>
      <c r="C16" s="17">
        <v>10</v>
      </c>
    </row>
    <row r="17" spans="1:3" ht="14.4" x14ac:dyDescent="0.3">
      <c r="A17" s="32">
        <v>44932</v>
      </c>
      <c r="B17" s="17" t="s">
        <v>153</v>
      </c>
      <c r="C17" s="17">
        <v>150</v>
      </c>
    </row>
    <row r="18" spans="1:3" ht="14.4" x14ac:dyDescent="0.3">
      <c r="A18" s="32">
        <v>44933</v>
      </c>
      <c r="B18" s="17" t="s">
        <v>154</v>
      </c>
      <c r="C18" s="17">
        <v>80</v>
      </c>
    </row>
    <row r="19" spans="1:3" ht="14.4" x14ac:dyDescent="0.3">
      <c r="A19" s="32">
        <v>44934</v>
      </c>
      <c r="B19" s="17" t="s">
        <v>155</v>
      </c>
      <c r="C19" s="17">
        <v>20</v>
      </c>
    </row>
    <row r="20" spans="1:3" ht="14.4" x14ac:dyDescent="0.3">
      <c r="A20" s="32">
        <v>44935</v>
      </c>
      <c r="B20" s="17" t="s">
        <v>156</v>
      </c>
      <c r="C20" s="17">
        <v>30</v>
      </c>
    </row>
    <row r="21" spans="1:3" ht="14.4" x14ac:dyDescent="0.3">
      <c r="A21" s="32">
        <v>44936</v>
      </c>
      <c r="B21" s="17" t="s">
        <v>157</v>
      </c>
      <c r="C21" s="17">
        <v>20</v>
      </c>
    </row>
    <row r="22" spans="1:3" ht="14.4" x14ac:dyDescent="0.3">
      <c r="B22" s="17" t="s">
        <v>158</v>
      </c>
      <c r="C22" s="25">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2" zoomScale="73" zoomScaleNormal="100" workbookViewId="0">
      <selection activeCell="H29" sqref="H29"/>
    </sheetView>
  </sheetViews>
  <sheetFormatPr defaultColWidth="11" defaultRowHeight="13.8" x14ac:dyDescent="0.3"/>
  <cols>
    <col min="1" max="1" width="28.21875" style="2" bestFit="1" customWidth="1"/>
    <col min="2" max="16384" width="11" style="2"/>
  </cols>
  <sheetData>
    <row r="1" spans="1:14" ht="21" x14ac:dyDescent="0.4">
      <c r="A1" s="42" t="s">
        <v>98</v>
      </c>
      <c r="B1" s="41" t="s">
        <v>174</v>
      </c>
    </row>
    <row r="3" spans="1:14" ht="14.4" x14ac:dyDescent="0.3">
      <c r="B3" s="1" t="s">
        <v>150</v>
      </c>
    </row>
    <row r="4" spans="1:14" ht="18" x14ac:dyDescent="0.35">
      <c r="A4" s="43" t="s">
        <v>180</v>
      </c>
      <c r="B4" s="1"/>
    </row>
    <row r="5" spans="1:14" ht="18" x14ac:dyDescent="0.35">
      <c r="A5" s="43" t="s">
        <v>181</v>
      </c>
      <c r="B5" s="1"/>
    </row>
    <row r="6" spans="1:14" ht="14.4" x14ac:dyDescent="0.3">
      <c r="A6" s="3"/>
      <c r="B6" s="1"/>
    </row>
    <row r="8" spans="1:14" ht="23.4" x14ac:dyDescent="0.45">
      <c r="A8" s="18" t="s">
        <v>161</v>
      </c>
      <c r="M8" s="18" t="s">
        <v>162</v>
      </c>
    </row>
    <row r="9" spans="1:14" ht="14.4" x14ac:dyDescent="0.3">
      <c r="A9" s="26"/>
      <c r="B9" s="26" t="s">
        <v>89</v>
      </c>
      <c r="C9" s="26" t="s">
        <v>90</v>
      </c>
      <c r="D9" s="26" t="s">
        <v>91</v>
      </c>
      <c r="E9" s="26" t="s">
        <v>92</v>
      </c>
      <c r="F9" s="26" t="s">
        <v>93</v>
      </c>
      <c r="G9" s="26" t="s">
        <v>94</v>
      </c>
      <c r="H9" s="26" t="s">
        <v>95</v>
      </c>
      <c r="I9" s="26" t="s">
        <v>96</v>
      </c>
      <c r="J9" s="26" t="s">
        <v>97</v>
      </c>
      <c r="M9" s="19" t="s">
        <v>43</v>
      </c>
      <c r="N9" s="19" t="s">
        <v>99</v>
      </c>
    </row>
    <row r="10" spans="1:14" ht="14.4" x14ac:dyDescent="0.3">
      <c r="A10" s="26" t="s">
        <v>89</v>
      </c>
      <c r="B10" s="25">
        <v>-1</v>
      </c>
      <c r="C10" s="25">
        <v>95</v>
      </c>
      <c r="D10" s="25">
        <v>-1</v>
      </c>
      <c r="E10" s="25">
        <v>185</v>
      </c>
      <c r="F10" s="25">
        <v>255</v>
      </c>
      <c r="G10" s="25">
        <v>305</v>
      </c>
      <c r="H10" s="25">
        <v>415</v>
      </c>
      <c r="I10" s="25">
        <v>480</v>
      </c>
      <c r="J10" s="25">
        <v>525</v>
      </c>
      <c r="M10" s="12">
        <v>10100</v>
      </c>
      <c r="N10" s="12" t="s">
        <v>89</v>
      </c>
    </row>
    <row r="11" spans="1:14" ht="14.4" x14ac:dyDescent="0.3">
      <c r="A11" s="26" t="s">
        <v>90</v>
      </c>
      <c r="B11" s="25">
        <v>95</v>
      </c>
      <c r="C11" s="25">
        <v>-1</v>
      </c>
      <c r="D11" s="25">
        <v>-1</v>
      </c>
      <c r="E11" s="25">
        <v>90</v>
      </c>
      <c r="F11" s="25">
        <v>160</v>
      </c>
      <c r="G11" s="25">
        <v>210</v>
      </c>
      <c r="H11" s="25">
        <v>325</v>
      </c>
      <c r="I11" s="25">
        <v>390</v>
      </c>
      <c r="J11" s="25">
        <v>430</v>
      </c>
      <c r="M11" s="12">
        <v>10102</v>
      </c>
      <c r="N11" s="12" t="s">
        <v>90</v>
      </c>
    </row>
    <row r="12" spans="1:14" ht="14.4" x14ac:dyDescent="0.3">
      <c r="A12" s="26" t="s">
        <v>91</v>
      </c>
      <c r="B12" s="25">
        <v>-1</v>
      </c>
      <c r="C12" s="25">
        <v>-1</v>
      </c>
      <c r="D12" s="25">
        <v>-1</v>
      </c>
      <c r="E12" s="25">
        <v>60</v>
      </c>
      <c r="F12" s="25">
        <v>130</v>
      </c>
      <c r="G12" s="25">
        <v>180</v>
      </c>
      <c r="H12" s="25">
        <v>295</v>
      </c>
      <c r="I12" s="25">
        <v>355</v>
      </c>
      <c r="J12" s="25">
        <v>400</v>
      </c>
      <c r="M12" s="12">
        <v>10104</v>
      </c>
      <c r="N12" s="12" t="s">
        <v>91</v>
      </c>
    </row>
    <row r="13" spans="1:14" ht="14.4" x14ac:dyDescent="0.3">
      <c r="A13" s="26" t="s">
        <v>92</v>
      </c>
      <c r="B13" s="25">
        <v>185</v>
      </c>
      <c r="C13" s="25">
        <v>90</v>
      </c>
      <c r="D13" s="25">
        <v>60</v>
      </c>
      <c r="E13" s="25">
        <v>-1</v>
      </c>
      <c r="F13" s="25">
        <v>70</v>
      </c>
      <c r="G13" s="25">
        <v>120</v>
      </c>
      <c r="H13" s="25">
        <v>235</v>
      </c>
      <c r="I13" s="25">
        <v>300</v>
      </c>
      <c r="J13" s="25">
        <v>340</v>
      </c>
      <c r="M13" s="12">
        <v>10106</v>
      </c>
      <c r="N13" s="12" t="s">
        <v>92</v>
      </c>
    </row>
    <row r="14" spans="1:14" ht="14.4" x14ac:dyDescent="0.3">
      <c r="A14" s="26" t="s">
        <v>93</v>
      </c>
      <c r="B14" s="25">
        <v>255</v>
      </c>
      <c r="C14" s="25">
        <v>160</v>
      </c>
      <c r="D14" s="25">
        <v>130</v>
      </c>
      <c r="E14" s="25">
        <v>70</v>
      </c>
      <c r="F14" s="25">
        <v>-1</v>
      </c>
      <c r="G14" s="25">
        <v>50</v>
      </c>
      <c r="H14" s="25">
        <v>165</v>
      </c>
      <c r="I14" s="25">
        <v>230</v>
      </c>
      <c r="J14" s="25">
        <v>270</v>
      </c>
      <c r="M14" s="12">
        <v>10108</v>
      </c>
      <c r="N14" s="12" t="s">
        <v>93</v>
      </c>
    </row>
    <row r="15" spans="1:14" ht="14.4" x14ac:dyDescent="0.3">
      <c r="A15" s="26" t="s">
        <v>94</v>
      </c>
      <c r="B15" s="25">
        <v>305</v>
      </c>
      <c r="C15" s="25">
        <v>210</v>
      </c>
      <c r="D15" s="25">
        <v>180</v>
      </c>
      <c r="E15" s="25">
        <v>120</v>
      </c>
      <c r="F15" s="25">
        <v>50</v>
      </c>
      <c r="G15" s="25">
        <v>-1</v>
      </c>
      <c r="H15" s="25">
        <v>115</v>
      </c>
      <c r="I15" s="25">
        <v>180</v>
      </c>
      <c r="J15" s="25">
        <v>220</v>
      </c>
      <c r="M15" s="12">
        <v>10110</v>
      </c>
      <c r="N15" s="12" t="s">
        <v>94</v>
      </c>
    </row>
    <row r="16" spans="1:14" ht="14.4" x14ac:dyDescent="0.3">
      <c r="A16" s="26" t="s">
        <v>95</v>
      </c>
      <c r="B16" s="25">
        <v>415</v>
      </c>
      <c r="C16" s="25">
        <v>325</v>
      </c>
      <c r="D16" s="25">
        <v>295</v>
      </c>
      <c r="E16" s="25">
        <v>235</v>
      </c>
      <c r="F16" s="25">
        <v>165</v>
      </c>
      <c r="G16" s="25">
        <v>115</v>
      </c>
      <c r="H16" s="25">
        <v>-1</v>
      </c>
      <c r="I16" s="25">
        <v>65</v>
      </c>
      <c r="J16" s="25">
        <v>105</v>
      </c>
      <c r="M16" s="12">
        <v>10112</v>
      </c>
      <c r="N16" s="12" t="s">
        <v>95</v>
      </c>
    </row>
    <row r="17" spans="1:14" ht="14.4" x14ac:dyDescent="0.3">
      <c r="A17" s="26" t="s">
        <v>96</v>
      </c>
      <c r="B17" s="25">
        <v>480</v>
      </c>
      <c r="C17" s="25">
        <v>390</v>
      </c>
      <c r="D17" s="25">
        <v>355</v>
      </c>
      <c r="E17" s="25">
        <v>300</v>
      </c>
      <c r="F17" s="25">
        <v>230</v>
      </c>
      <c r="G17" s="25">
        <v>180</v>
      </c>
      <c r="H17" s="25">
        <v>65</v>
      </c>
      <c r="I17" s="25">
        <v>-1</v>
      </c>
      <c r="J17" s="25">
        <v>40</v>
      </c>
      <c r="M17" s="12">
        <v>10114</v>
      </c>
      <c r="N17" s="12" t="s">
        <v>96</v>
      </c>
    </row>
    <row r="18" spans="1:14" ht="14.4" x14ac:dyDescent="0.3">
      <c r="A18" s="26" t="s">
        <v>97</v>
      </c>
      <c r="B18" s="25">
        <v>525</v>
      </c>
      <c r="C18" s="25">
        <v>430</v>
      </c>
      <c r="D18" s="25">
        <v>400</v>
      </c>
      <c r="E18" s="25">
        <v>340</v>
      </c>
      <c r="F18" s="25">
        <v>270</v>
      </c>
      <c r="G18" s="25">
        <v>220</v>
      </c>
      <c r="H18" s="25">
        <v>105</v>
      </c>
      <c r="I18" s="25">
        <v>40</v>
      </c>
      <c r="J18" s="25">
        <v>-1</v>
      </c>
      <c r="M18" s="13">
        <v>10116</v>
      </c>
      <c r="N18" s="13" t="s">
        <v>97</v>
      </c>
    </row>
    <row r="21" spans="1:14" ht="23.4" x14ac:dyDescent="0.45">
      <c r="A21" s="18" t="s">
        <v>167</v>
      </c>
      <c r="M21" s="44"/>
    </row>
    <row r="22" spans="1:14" ht="14.4" x14ac:dyDescent="0.3">
      <c r="A22" s="14" t="s">
        <v>100</v>
      </c>
      <c r="B22" s="17" t="s">
        <v>101</v>
      </c>
      <c r="C22" s="16" t="s">
        <v>102</v>
      </c>
    </row>
    <row r="23" spans="1:14" ht="14.4" x14ac:dyDescent="0.3">
      <c r="A23" s="7">
        <v>10100</v>
      </c>
      <c r="B23" s="12">
        <v>10102</v>
      </c>
      <c r="C23" s="44">
        <f>INDEX([1]Task_5!B10:J18, MATCH(INDEX([2]Task_5!N10:N18, MATCH(A23, [2]Task_5!M10:M18, 0)), [1]Task_5!A10:A18, 0), MATCH(INDEX([2]Task_5!N10:N18, MATCH(B23, [2]Task_5!M10:M18, 0)), [1]Task_5!B9:J9, 0))</f>
        <v>95</v>
      </c>
    </row>
    <row r="24" spans="1:14" ht="14.4" x14ac:dyDescent="0.3">
      <c r="A24" s="7">
        <v>10100</v>
      </c>
      <c r="B24" s="12">
        <v>10104</v>
      </c>
      <c r="C24" s="44">
        <f>INDEX([1]Task_5!B10:J18, MATCH(INDEX([2]Task_5!N10:N18, MATCH(A24, [2]Task_5!M10:M18, 0)), [1]Task_5!A10:A18, 0), MATCH(INDEX([2]Task_5!N10:N18, MATCH(B24, [2]Task_5!M10:M18, 0)), [1]Task_5!B9:J9, 0))</f>
        <v>-1</v>
      </c>
    </row>
    <row r="25" spans="1:14" ht="14.4" x14ac:dyDescent="0.3">
      <c r="A25" s="7">
        <v>10108</v>
      </c>
      <c r="B25" s="12">
        <v>10102</v>
      </c>
      <c r="C25" s="44">
        <f>INDEX([1]Task_5!B10:J18, MATCH(INDEX([2]Task_5!N10:N18, MATCH(A25, [2]Task_5!M10:M18, 0)), [1]Task_5!A10:A18, 0), MATCH(INDEX([2]Task_5!N10:N18, MATCH(B25, [2]Task_5!M10:M18, 0)), [1]Task_5!B9:J9, 0))</f>
        <v>160</v>
      </c>
    </row>
    <row r="26" spans="1:14" ht="14.4" x14ac:dyDescent="0.3">
      <c r="A26" s="7">
        <v>10100</v>
      </c>
      <c r="B26" s="12">
        <v>10106</v>
      </c>
      <c r="C26" s="44">
        <f>INDEX([1]Task_5!B10:J18, MATCH(INDEX([2]Task_5!N10:N18, MATCH(A26, [2]Task_5!M10:M18, 0)), [1]Task_5!A10:A18, 0), MATCH(INDEX([2]Task_5!N10:N18, MATCH(B26, [2]Task_5!M10:M18, 0)), [1]Task_5!B9:J9, 0))</f>
        <v>185</v>
      </c>
    </row>
    <row r="27" spans="1:14" ht="14.4" x14ac:dyDescent="0.3">
      <c r="A27" s="7">
        <v>10108</v>
      </c>
      <c r="B27" s="12">
        <v>10110</v>
      </c>
      <c r="C27" s="44">
        <f>INDEX([1]Task_5!B10:J18, MATCH(INDEX([2]Task_5!N10:N18, MATCH(A27, [2]Task_5!M10:M18, 0)), [1]Task_5!A10:A18, 0), MATCH(INDEX([2]Task_5!N10:N18, MATCH(B27, [2]Task_5!M10:M18, 0)), [1]Task_5!B9:J9, 0))</f>
        <v>50</v>
      </c>
    </row>
    <row r="28" spans="1:14" ht="14.4" x14ac:dyDescent="0.3">
      <c r="A28" s="7">
        <v>10102</v>
      </c>
      <c r="B28" s="12">
        <v>10104</v>
      </c>
      <c r="C28" s="44">
        <f>INDEX([1]Task_5!B10:J18, MATCH(INDEX([2]Task_5!N10:N18, MATCH(A28, [2]Task_5!M10:M18, 0)), [1]Task_5!A10:A18, 0), MATCH(INDEX([2]Task_5!N10:N18, MATCH(B28, [2]Task_5!M10:M18, 0)), [1]Task_5!B9:J9, 0))</f>
        <v>-1</v>
      </c>
    </row>
    <row r="29" spans="1:14" ht="14.4" x14ac:dyDescent="0.3">
      <c r="A29" s="7">
        <v>10106</v>
      </c>
      <c r="B29" s="12">
        <v>10108</v>
      </c>
      <c r="C29" s="44">
        <f>INDEX([1]Task_5!B10:J18, MATCH(INDEX([2]Task_5!N10:N18, MATCH(A29, [2]Task_5!M10:M18, 0)), [1]Task_5!A10:A18, 0), MATCH(INDEX([2]Task_5!N10:N18, MATCH(B29, [2]Task_5!M10:M18, 0)), [1]Task_5!B9:J9, 0))</f>
        <v>70</v>
      </c>
    </row>
    <row r="30" spans="1:14" ht="14.4" x14ac:dyDescent="0.3">
      <c r="A30" s="7">
        <v>10102</v>
      </c>
      <c r="B30" s="12">
        <v>10106</v>
      </c>
      <c r="C30" s="44">
        <f>INDEX([1]Task_5!B10:J18, MATCH(INDEX([2]Task_5!N10:N18, MATCH(A30, [2]Task_5!M10:M18, 0)), [1]Task_5!A10:A18, 0), MATCH(INDEX([2]Task_5!N10:N18, MATCH(B30, [2]Task_5!M10:M18, 0)), [1]Task_5!B9:J9, 0))</f>
        <v>90</v>
      </c>
    </row>
    <row r="31" spans="1:14" ht="14.4" x14ac:dyDescent="0.3">
      <c r="A31" s="7">
        <v>10110</v>
      </c>
      <c r="B31" s="12">
        <v>10114</v>
      </c>
      <c r="C31" s="44">
        <f>INDEX([1]Task_5!B10:J18, MATCH(INDEX([2]Task_5!N10:N18, MATCH(A31, [2]Task_5!M10:M18, 0)), [1]Task_5!A10:A18, 0), MATCH(INDEX([2]Task_5!N10:N18, MATCH(B31, [2]Task_5!M10:M18, 0)), [1]Task_5!B9:J9, 0))</f>
        <v>180</v>
      </c>
    </row>
    <row r="32" spans="1:14" ht="14.4" x14ac:dyDescent="0.3">
      <c r="A32" s="7">
        <v>10104</v>
      </c>
      <c r="B32" s="12">
        <v>10106</v>
      </c>
      <c r="C32" s="44">
        <f>INDEX([1]Task_5!B10:J18, MATCH(INDEX([2]Task_5!N10:N18, MATCH(A32, [2]Task_5!M10:M18, 0)), [1]Task_5!A10:A18, 0), MATCH(INDEX([2]Task_5!N10:N18, MATCH(B32, [2]Task_5!M10:M18, 0)), [1]Task_5!B9:J9, 0))</f>
        <v>60</v>
      </c>
    </row>
    <row r="33" spans="1:3" ht="14.4" x14ac:dyDescent="0.3">
      <c r="A33" s="7">
        <v>10110</v>
      </c>
      <c r="B33" s="12">
        <v>10112</v>
      </c>
      <c r="C33" s="44">
        <f>INDEX([1]Task_5!B10:J18, MATCH(INDEX([2]Task_5!N10:N18, MATCH(A33, [2]Task_5!M10:M18, 0)), [1]Task_5!A10:A18, 0), MATCH(INDEX([2]Task_5!N10:N18, MATCH(B33, [2]Task_5!M10:M18, 0)), [1]Task_5!B9:J9, 0))</f>
        <v>115</v>
      </c>
    </row>
    <row r="34" spans="1:3" ht="14.4" x14ac:dyDescent="0.3">
      <c r="A34" s="7">
        <v>10100</v>
      </c>
      <c r="B34" s="12">
        <v>10114</v>
      </c>
      <c r="C34" s="44">
        <f>INDEX([1]Task_5!B10:J18, MATCH(INDEX([2]Task_5!N10:N18, MATCH(A34, [2]Task_5!M10:M18, 0)), [1]Task_5!A10:A18, 0), MATCH(INDEX([2]Task_5!N10:N18, MATCH(B34, [2]Task_5!M10:M18, 0)), [1]Task_5!B9:J9, 0))</f>
        <v>480</v>
      </c>
    </row>
    <row r="35" spans="1:3" ht="14.4" x14ac:dyDescent="0.3">
      <c r="A35" s="9">
        <v>10112</v>
      </c>
      <c r="B35" s="13">
        <v>10116</v>
      </c>
      <c r="C35" s="44">
        <f>INDEX([1]Task_5!B10:J18, MATCH(INDEX([2]Task_5!N10:N18, MATCH(A35, [2]Task_5!M10:M18, 0)), [1]Task_5!A10:A18, 0), MATCH(INDEX([2]Task_5!N10:N18, MATCH(B35, [2]Task_5!M10:M18, 0)), [1]Task_5!B9:J9, 0))</f>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vostro 3501</cp:lastModifiedBy>
  <dcterms:created xsi:type="dcterms:W3CDTF">2015-02-10T17:33:11Z</dcterms:created>
  <dcterms:modified xsi:type="dcterms:W3CDTF">2024-10-24T06:56:00Z</dcterms:modified>
</cp:coreProperties>
</file>